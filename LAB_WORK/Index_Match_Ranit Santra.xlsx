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<sst xmlns="http://schemas.openxmlformats.org/spreadsheetml/2006/main" count="55" uniqueCount="32">
  <si>
    <t>Product ID</t>
  </si>
  <si>
    <t>Product</t>
  </si>
  <si>
    <t>Category</t>
  </si>
  <si>
    <t>Jan Sales</t>
  </si>
  <si>
    <t>Feb Sales</t>
  </si>
  <si>
    <t>March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</si>
  <si>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</si>
  <si>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</si>
  <si>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</si>
  <si>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</si>
  <si>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</si>
  <si>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</si>
  <si>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</si>
  <si>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</si>
  <si>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</si>
  <si>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</si>
  <si>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</si>
  <si>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</si>
  <si>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</si>
  <si>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</si>
  <si>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4. Use INDEX and MATCH to find the month with the maximum sales for Product A.</t>
  </si>
  <si>
    <t>Maximum Sales</t>
  </si>
  <si>
    <t>Max sales(Month)</t>
  </si>
  <si>
    <t>5. Use INDEX, MATCH, and SUMIF to sum the sales for all products in the "Electronics" category for April.</t>
  </si>
  <si>
    <t>Sum</t>
  </si>
  <si>
    <t>6. Use INDEX and MATCH to calculate the average sales for Product D across all months.</t>
  </si>
  <si>
    <t>Average</t>
  </si>
  <si>
    <t>7. Use INDEX and MATCH to find the sales for Product ID 105 in May.</t>
  </si>
  <si>
    <t>Month</t>
  </si>
  <si>
    <t>Sales</t>
  </si>
  <si>
    <t>8. Use INDEX and MATCH to create a dynamic lookup where the user can input a product and a month, and the formula returns the corresponding sales.</t>
  </si>
  <si>
    <t xml:space="preserve">Product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</si>
</sst>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sz val="10"/>
      <color theme="5"/>
      <name val="Arial"/>
      <charset val="134"/>
    </font>
    <font>
      <sz val="10"/>
      <color theme="5" tint="-0.25"/>
      <name val="Arial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5" borderId="1" xfId="0" applyFill="1" applyBorder="1">
      <alignment vertical="center"/>
    </xf>
    <xf numFmtId="0" fontId="6" fillId="0" borderId="0" xfId="0" applyFont="1" applyFill="1" applyAlignment="1">
      <alignment vertical="center"/>
    </xf>
    <xf numFmtId="0" fontId="7" fillId="6" borderId="1" xfId="0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3" fillId="5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32"/>
  <sheetViews>
    <sheetView tabSelected="1" workbookViewId="0">
      <selection activeCell="J19" sqref="J19"/>
    </sheetView>
  </sheetViews>
  <sheetFormatPr defaultColWidth="9.14285714285714" defaultRowHeight="15"/>
  <cols>
    <col min="1" max="1" width="12.2857142857143" customWidth="1"/>
    <col min="2" max="2" width="23" customWidth="1"/>
    <col min="3" max="3" width="16.1428571428571" customWidth="1"/>
    <col min="4" max="4" width="10.1428571428571" customWidth="1"/>
    <col min="5" max="5" width="10.4285714285714" customWidth="1"/>
    <col min="7" max="7" width="10.5714285714286" customWidth="1"/>
    <col min="8" max="8" width="11.4285714285714" customWidth="1"/>
    <col min="10" max="10" width="18.2857142857143" customWidth="1"/>
  </cols>
  <sheetData>
    <row r="2" ht="15.75" spans="1:8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ht="15.75" spans="1:8">
      <c r="A3" s="3">
        <v>101</v>
      </c>
      <c r="B3" s="3" t="s">
        <v>8</v>
      </c>
      <c r="C3" s="3" t="s">
        <v>9</v>
      </c>
      <c r="D3" s="4">
        <v>120</v>
      </c>
      <c r="E3" s="3">
        <v>130</v>
      </c>
      <c r="F3" s="3">
        <v>140</v>
      </c>
      <c r="G3" s="3">
        <v>150</v>
      </c>
      <c r="H3" s="3">
        <v>160</v>
      </c>
    </row>
    <row r="4" ht="15.75" spans="1:8">
      <c r="A4" s="3">
        <v>102</v>
      </c>
      <c r="B4" s="3" t="s">
        <v>10</v>
      </c>
      <c r="C4" s="3" t="s">
        <v>11</v>
      </c>
      <c r="D4" s="4">
        <v>150</v>
      </c>
      <c r="E4" s="3">
        <v>160</v>
      </c>
      <c r="F4" s="3">
        <v>170</v>
      </c>
      <c r="G4" s="3">
        <v>180</v>
      </c>
      <c r="H4" s="3">
        <v>190</v>
      </c>
    </row>
    <row r="5" ht="15.75" spans="1:8">
      <c r="A5" s="3">
        <v>103</v>
      </c>
      <c r="B5" s="3" t="s">
        <v>12</v>
      </c>
      <c r="C5" s="3" t="s">
        <v>9</v>
      </c>
      <c r="D5" s="3">
        <v>200</v>
      </c>
      <c r="E5" s="3">
        <v>210</v>
      </c>
      <c r="F5" s="3">
        <v>220</v>
      </c>
      <c r="G5" s="3">
        <v>230</v>
      </c>
      <c r="H5" s="3">
        <v>240</v>
      </c>
    </row>
    <row r="6" ht="15.75" spans="1:8">
      <c r="A6" s="3">
        <v>104</v>
      </c>
      <c r="B6" s="3" t="s">
        <v>13</v>
      </c>
      <c r="C6" s="3" t="s">
        <v>14</v>
      </c>
      <c r="D6" s="3">
        <v>90</v>
      </c>
      <c r="E6" s="3">
        <v>100</v>
      </c>
      <c r="F6" s="3">
        <v>110</v>
      </c>
      <c r="G6" s="3">
        <v>120</v>
      </c>
      <c r="H6" s="3">
        <v>130</v>
      </c>
    </row>
    <row r="7" ht="15.75" spans="1:8">
      <c r="A7" s="3">
        <v>105</v>
      </c>
      <c r="B7" s="3" t="s">
        <v>15</v>
      </c>
      <c r="C7" s="3" t="s">
        <v>11</v>
      </c>
      <c r="D7" s="3">
        <v>220</v>
      </c>
      <c r="E7" s="3">
        <v>430</v>
      </c>
      <c r="F7" s="3">
        <v>240</v>
      </c>
      <c r="G7" s="3">
        <v>250</v>
      </c>
      <c r="H7" s="3">
        <v>260</v>
      </c>
    </row>
    <row r="8" ht="15.75" spans="1:8">
      <c r="A8" s="3">
        <v>106</v>
      </c>
      <c r="B8" s="3" t="s">
        <v>16</v>
      </c>
      <c r="C8" s="3" t="s">
        <v>9</v>
      </c>
      <c r="D8" s="3">
        <v>130</v>
      </c>
      <c r="E8" s="3">
        <v>140</v>
      </c>
      <c r="F8" s="3">
        <v>150</v>
      </c>
      <c r="G8" s="3">
        <v>160</v>
      </c>
      <c r="H8" s="3">
        <v>170</v>
      </c>
    </row>
    <row r="11" spans="2:9">
      <c r="B11" s="5" t="s">
        <v>17</v>
      </c>
      <c r="I11" s="5" t="s">
        <v>18</v>
      </c>
    </row>
    <row r="13" ht="15.75" spans="2:10">
      <c r="B13" s="6" t="s">
        <v>1</v>
      </c>
      <c r="C13" s="7" t="s">
        <v>5</v>
      </c>
      <c r="I13" s="6" t="s">
        <v>1</v>
      </c>
      <c r="J13" s="6" t="s">
        <v>2</v>
      </c>
    </row>
    <row r="14" spans="2:10">
      <c r="B14" s="8" t="s">
        <v>12</v>
      </c>
      <c r="C14" s="8" cm="1">
        <f t="array" ref="C14">INDEX(A2:H8,MATCH(B14,B2:B8,0),MATCH(C13,A2:H2,0))</f>
        <v>220</v>
      </c>
      <c r="I14" s="8" t="s">
        <v>15</v>
      </c>
      <c r="J14" s="8" t="str" cm="1">
        <f t="array" ref="J14">INDEX(A2:H8,MATCH(I14,B2:B8,0),MATCH(J13,A2:H2,0))</f>
        <v>Furniture</v>
      </c>
    </row>
    <row r="16" spans="2:9">
      <c r="B16" s="9" t="s">
        <v>19</v>
      </c>
      <c r="I16" s="9" t="s">
        <v>20</v>
      </c>
    </row>
    <row r="18" ht="15.75" spans="2:10">
      <c r="B18" s="6" t="s">
        <v>1</v>
      </c>
      <c r="C18" s="10" t="s">
        <v>21</v>
      </c>
      <c r="I18" s="6" t="s">
        <v>1</v>
      </c>
      <c r="J18" s="10" t="s">
        <v>22</v>
      </c>
    </row>
    <row r="19" spans="2:10">
      <c r="B19" s="8" t="s">
        <v>10</v>
      </c>
      <c r="C19" s="8">
        <f>MAX(INDEX(D2:H8,MATCH(B19,B2:B8,0),0))</f>
        <v>190</v>
      </c>
      <c r="I19" s="8" t="s">
        <v>8</v>
      </c>
      <c r="J19" s="8" t="str" cm="1">
        <f t="array" ref="J19">INDEX(D2:H2,MATCH(MAX(D3:H3),D3:H3,0))</f>
        <v>May Sales</v>
      </c>
    </row>
    <row r="21" spans="2:2">
      <c r="B21" s="9" t="s">
        <v>23</v>
      </c>
    </row>
    <row r="23" ht="15.75" spans="2:10">
      <c r="B23" s="6" t="s">
        <v>2</v>
      </c>
      <c r="C23" s="11" t="s">
        <v>24</v>
      </c>
      <c r="J23" s="9" t="s">
        <v>25</v>
      </c>
    </row>
    <row r="24" spans="2:3">
      <c r="B24" s="8" t="s">
        <v>9</v>
      </c>
      <c r="C24" s="8">
        <f>SUMIF(C2:C8,"=Electronics",G2:G8)</f>
        <v>540</v>
      </c>
    </row>
    <row r="25" ht="15.75" spans="10:11">
      <c r="J25" s="6" t="s">
        <v>1</v>
      </c>
      <c r="K25" s="10" t="s">
        <v>26</v>
      </c>
    </row>
    <row r="26" spans="10:11">
      <c r="J26" s="8" t="s">
        <v>13</v>
      </c>
      <c r="K26" s="8">
        <f>AVERAGE(INDEX(B2:H8,MATCH(J26,B2:B8,0),0))</f>
        <v>110</v>
      </c>
    </row>
    <row r="27" spans="2:2">
      <c r="B27" s="9" t="s">
        <v>27</v>
      </c>
    </row>
    <row r="29" ht="15.75" spans="2:10">
      <c r="B29" s="6" t="s">
        <v>0</v>
      </c>
      <c r="C29" s="10" t="s">
        <v>28</v>
      </c>
      <c r="D29" s="11" t="s">
        <v>29</v>
      </c>
      <c r="J29" s="9" t="s">
        <v>30</v>
      </c>
    </row>
    <row r="30" spans="2:4">
      <c r="B30" s="8">
        <v>105</v>
      </c>
      <c r="C30" s="8" t="s">
        <v>7</v>
      </c>
      <c r="D30" s="8" cm="1">
        <f t="array" ref="D30">INDEX(A2:H8,MATCH(B30,A2:A8,0),MATCH(C30,A2:H2,0))</f>
        <v>260</v>
      </c>
    </row>
    <row r="31" ht="15.75" spans="10:12">
      <c r="J31" s="6" t="s">
        <v>31</v>
      </c>
      <c r="K31" s="12" t="s">
        <v>28</v>
      </c>
      <c r="L31" s="12" t="s">
        <v>29</v>
      </c>
    </row>
    <row r="32" ht="15.75" spans="10:12">
      <c r="J32" s="13" t="s">
        <v>13</v>
      </c>
      <c r="K32" s="13" t="s">
        <v>3</v>
      </c>
      <c r="L32" s="13" cm="1">
        <f t="array" ref="L32">INDEX(A2:H8,MATCH(J32,B2:B8,0),MATCH(K32,A2:H2,0))</f>
        <v>90</v>
      </c>
    </row>
  </sheetData>
  <dataValidations count="4">
    <dataValidation type="list" allowBlank="1" showInputMessage="1" showErrorMessage="1" sqref="B14 I14 B19 I19 J26 J32">
      <formula1>$B$3:$B$8</formula1>
    </dataValidation>
    <dataValidation type="list" allowBlank="1" showInputMessage="1" showErrorMessage="1" sqref="B24">
      <formula1>$C$3:$C$8</formula1>
    </dataValidation>
    <dataValidation type="list" allowBlank="1" showInputMessage="1" showErrorMessage="1" sqref="B30">
      <formula1>$A$3:$A$8</formula1>
    </dataValidation>
    <dataValidation type="list" allowBlank="1" showInputMessage="1" showErrorMessage="1" sqref="C30 K32">
      <formula1>$D$2:$H$2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Ranit Santra</cp:lastModifiedBy>
  <dcterms:created xsi:type="dcterms:W3CDTF">2026-01-21T14:10:20Z</dcterms:created>
  <dcterms:modified xsi:type="dcterms:W3CDTF">2026-01-21T18:08:25Z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2E8BFFA3C6EA4140A9914E28FC3F2391_13</vt:lpwstr>
  </property>
  <property fmtid="{D5CDD505-2E9C-101B-9397-08002B2CF9AE}" pid="3" name="KSOProductBuildVer">
    <vt:lpwstr>1033-12.2.0.23196</vt:lpwstr>
  </property>
</Properties>
</file>