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7620" firstSheet="2" activeTab="4"/>
  </bookViews>
  <sheets>
    <sheet name="Medicine_Sales_MessyData_2025" sheetId="1" r:id="rId1"/>
    <sheet name="Clean_DataSet" sheetId="3" r:id="rId2"/>
    <sheet name="Operation_Sheet" sheetId="4" r:id="rId3"/>
    <sheet name="Pivot_Table_Sheet" sheetId="7" r:id="rId4"/>
    <sheet name="Visualization_Sheet" sheetId="1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<sst xmlns="http://schemas.openxmlformats.org/spreadsheetml/2006/main" count="12491" uniqueCount="148">
  <si>
    <t>Sale_ID</t>
  </si>
  <si>
    <t>Sale_Date</t>
  </si>
  <si>
    <t>Region</t>
  </si>
  <si>
    <t>State</t>
  </si>
  <si>
    <t>City</t>
  </si>
  <si>
    <t>Gender</t>
  </si>
  <si>
    <t>Age_Group</t>
  </si>
  <si>
    <t>Season</t>
  </si>
  <si>
    <t>Disease</t>
  </si>
  <si>
    <t>Medicine_Name</t>
  </si>
  <si>
    <t>Quantity_Sold</t>
  </si>
  <si>
    <t>Unit_Price</t>
  </si>
  <si>
    <t>Discount_%</t>
  </si>
  <si>
    <t>Total_Amount</t>
  </si>
  <si>
    <t>Sales_Channel</t>
  </si>
  <si>
    <t>Payment_Mode</t>
  </si>
  <si>
    <t>Doctor_Prescribed</t>
  </si>
  <si>
    <t>Return_Flag</t>
  </si>
  <si>
    <t>Customer_Rating</t>
  </si>
  <si>
    <t>Remarks</t>
  </si>
  <si>
    <t>North</t>
  </si>
  <si>
    <t>CA</t>
  </si>
  <si>
    <t>City_48</t>
  </si>
  <si>
    <t>Other</t>
  </si>
  <si>
    <t>19-35</t>
  </si>
  <si>
    <t>Summer</t>
  </si>
  <si>
    <t>Diabetes</t>
  </si>
  <si>
    <t>MedA</t>
  </si>
  <si>
    <t>Online</t>
  </si>
  <si>
    <t>cash</t>
  </si>
  <si>
    <t>Yes</t>
  </si>
  <si>
    <t>Y</t>
  </si>
  <si>
    <t>Repeat customer</t>
  </si>
  <si>
    <t>Central</t>
  </si>
  <si>
    <t>IL</t>
  </si>
  <si>
    <t>City_2</t>
  </si>
  <si>
    <t>F</t>
  </si>
  <si>
    <t>winter</t>
  </si>
  <si>
    <t>Cold</t>
  </si>
  <si>
    <t>MedB</t>
  </si>
  <si>
    <t>Retail</t>
  </si>
  <si>
    <t>yes</t>
  </si>
  <si>
    <t>N</t>
  </si>
  <si>
    <t>City_25</t>
  </si>
  <si>
    <t>Male</t>
  </si>
  <si>
    <t>36-60</t>
  </si>
  <si>
    <t>Monsoon</t>
  </si>
  <si>
    <t>Asthma</t>
  </si>
  <si>
    <t>MedC</t>
  </si>
  <si>
    <t>First visit</t>
  </si>
  <si>
    <t>South</t>
  </si>
  <si>
    <t>ca</t>
  </si>
  <si>
    <t>City_5</t>
  </si>
  <si>
    <t>Hypertension</t>
  </si>
  <si>
    <t>Hospital</t>
  </si>
  <si>
    <t>north</t>
  </si>
  <si>
    <t>NY</t>
  </si>
  <si>
    <t>City_45</t>
  </si>
  <si>
    <t>Winter</t>
  </si>
  <si>
    <t>online</t>
  </si>
  <si>
    <t>East</t>
  </si>
  <si>
    <t>Tx</t>
  </si>
  <si>
    <t>City_50</t>
  </si>
  <si>
    <t>MedD</t>
  </si>
  <si>
    <t>Card</t>
  </si>
  <si>
    <t>no</t>
  </si>
  <si>
    <t>TX</t>
  </si>
  <si>
    <t>City_16</t>
  </si>
  <si>
    <t>19 -35</t>
  </si>
  <si>
    <t>City_44</t>
  </si>
  <si>
    <t>M</t>
  </si>
  <si>
    <t>Cash</t>
  </si>
  <si>
    <t>City_19</t>
  </si>
  <si>
    <t>Spring</t>
  </si>
  <si>
    <t>Flu</t>
  </si>
  <si>
    <t>UPI</t>
  </si>
  <si>
    <t>No</t>
  </si>
  <si>
    <t>SOUTH</t>
  </si>
  <si>
    <t>City_1</t>
  </si>
  <si>
    <t>City_49</t>
  </si>
  <si>
    <t>City_29</t>
  </si>
  <si>
    <t>60+</t>
  </si>
  <si>
    <t>City_22</t>
  </si>
  <si>
    <t>FL</t>
  </si>
  <si>
    <t>City_23</t>
  </si>
  <si>
    <t>West</t>
  </si>
  <si>
    <t>City_18</t>
  </si>
  <si>
    <t>City_26</t>
  </si>
  <si>
    <t>0-18</t>
  </si>
  <si>
    <t>City_9</t>
  </si>
  <si>
    <t>City_10</t>
  </si>
  <si>
    <t>Female</t>
  </si>
  <si>
    <t>City_12</t>
  </si>
  <si>
    <t>City_30</t>
  </si>
  <si>
    <t>City_17</t>
  </si>
  <si>
    <t>City_39</t>
  </si>
  <si>
    <t>City_36</t>
  </si>
  <si>
    <t>City_27</t>
  </si>
  <si>
    <t>City_38</t>
  </si>
  <si>
    <t>City_34</t>
  </si>
  <si>
    <t>City_37</t>
  </si>
  <si>
    <t>City_13</t>
  </si>
  <si>
    <t>City_46</t>
  </si>
  <si>
    <t>City_28</t>
  </si>
  <si>
    <t>City_41</t>
  </si>
  <si>
    <t>City_32</t>
  </si>
  <si>
    <t>City_7</t>
  </si>
  <si>
    <t>City_15</t>
  </si>
  <si>
    <t>City_21</t>
  </si>
  <si>
    <t>City_42</t>
  </si>
  <si>
    <t>City_14</t>
  </si>
  <si>
    <t>City_33</t>
  </si>
  <si>
    <t>City_43</t>
  </si>
  <si>
    <t>City_47</t>
  </si>
  <si>
    <t>City_20</t>
  </si>
  <si>
    <t>City_31</t>
  </si>
  <si>
    <t>City_24</t>
  </si>
  <si>
    <t>City_4</t>
  </si>
  <si>
    <t>City_3</t>
  </si>
  <si>
    <t>City_8</t>
  </si>
  <si>
    <t>City_11</t>
  </si>
  <si>
    <t>City_35</t>
  </si>
  <si>
    <t>City_6</t>
  </si>
  <si>
    <t>City_40</t>
  </si>
  <si>
    <t>Ca</t>
  </si>
  <si>
    <t>Repeat Customer</t>
  </si>
  <si>
    <t>Il</t>
  </si>
  <si>
    <t>First Visit</t>
  </si>
  <si>
    <t>26-40</t>
  </si>
  <si>
    <t>Ny</t>
  </si>
  <si>
    <t>Unknown</t>
  </si>
  <si>
    <t>No Feedback</t>
  </si>
  <si>
    <t>Upi</t>
  </si>
  <si>
    <t>Fl</t>
  </si>
  <si>
    <t>How discounts affect total sales and revenue ?</t>
  </si>
  <si>
    <t>Avg_Discount</t>
  </si>
  <si>
    <t>Which region and season generate the highest medicine sales?</t>
  </si>
  <si>
    <t xml:space="preserve">Sales </t>
  </si>
  <si>
    <t>Which age group and gender buy medicines?</t>
  </si>
  <si>
    <t>Result</t>
  </si>
  <si>
    <t>Selling medicines by disease and season</t>
  </si>
  <si>
    <t>Net revenue after discount ?</t>
  </si>
  <si>
    <t>Which medicines generate the highest sales?</t>
  </si>
  <si>
    <t>Sum of Total_Amount</t>
  </si>
  <si>
    <t>Sum of Quantity_Sold</t>
  </si>
  <si>
    <t>Count of Disease</t>
  </si>
  <si>
    <t>Sum of Sale_ID</t>
  </si>
  <si>
    <t>Count of 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</si>
</sst>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</font>
    <font>
      <b/>
      <sz val="11"/>
      <color rgb="FF0D0D0D"/>
      <name val="Calibri"/>
      <charset val="134"/>
    </font>
    <font>
      <b/>
      <sz val="11"/>
      <color rgb="FF0D0D0D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7" fillId="0" borderId="0" xfId="0" applyFont="1">
      <alignment vertical="center"/>
    </xf>
    <xf numFmtId="0" fontId="2" fillId="3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numFmt numFmtId="180" formatCode="dd/mm/yyyy\ hh:mm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4" tint="-0.499984740745262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theme="4"/>
        </left>
        <right style="thin">
          <color theme="4"/>
        </right>
        <top style="medium">
          <color theme="4"/>
        </top>
        <bottom style="thin">
          <color theme="4"/>
        </bottom>
        <vertical style="thin">
          <color theme="4" tint="0.79998168889431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0"/>
        </bottom>
        <vertical style="thin">
          <color theme="0"/>
        </vertical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ableStylePreset11_Accent1" pivot="0" count="7" xr9:uid="{CD7BBC66-7B44-4B59-B880-05322B0760B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[Medicine_Sales_Messy_2025.xlsx]Pivot_Table_Sheet!PivotTable2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Pivot_Table_Sheet!$B$3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Pivot_Table_Sheet!$A$4:$A$7</c:f>
              <c:strCache>
                <c:ptCount val="4"/>
                <c:pt idx="0">
                  <c:v>Monsoon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Pivot_Table_Sheet!$B$4:$B$7</c:f>
              <c:numCache>
                <c:formatCode>General</c:formatCode>
                <c:ptCount val="4"/>
                <c:pt idx="0">
                  <c:v>114307.76</c:v>
                </c:pt>
                <c:pt idx="1">
                  <c:v>140369.28</c:v>
                </c:pt>
                <c:pt idx="2">
                  <c:v>149362.33</c:v>
                </c:pt>
                <c:pt idx="3">
                  <c:v>292031.77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85003663"/>
        <c:axId val="716574674"/>
      </c:barChart>
      <c:catAx>
        <c:axId val="485003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6574674"/>
        <c:crosses val="autoZero"/>
        <c:auto val="1"/>
        <c:lblAlgn val="ctr"/>
        <c:lblOffset val="100"/>
        <c:noMultiLvlLbl val="0"/>
      </c:catAx>
      <c:valAx>
        <c:axId val="7165746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00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748c74-5b5a-4d9f-b5e1-989a46fbbc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[Medicine_Sales_Messy_2025.xlsx]Pivot_Table_Sheet!PivotTable3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Pivot_Table_Sheet!$E$3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Pivot_Table_Sheet!$D$4:$D$8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Pivot_Table_Sheet!$E$4:$E$8</c:f>
              <c:numCache>
                <c:formatCode>General</c:formatCode>
                <c:ptCount val="5"/>
                <c:pt idx="0">
                  <c:v>1757</c:v>
                </c:pt>
                <c:pt idx="1">
                  <c:v>2124</c:v>
                </c:pt>
                <c:pt idx="2">
                  <c:v>3779</c:v>
                </c:pt>
                <c:pt idx="3">
                  <c:v>3893</c:v>
                </c:pt>
                <c:pt idx="4">
                  <c:v>1831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63356159"/>
        <c:axId val="12554672"/>
      </c:barChart>
      <c:catAx>
        <c:axId val="26335615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54672"/>
        <c:crosses val="autoZero"/>
        <c:auto val="1"/>
        <c:lblAlgn val="ctr"/>
        <c:lblOffset val="100"/>
        <c:noMultiLvlLbl val="0"/>
      </c:catAx>
      <c:valAx>
        <c:axId val="125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335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281e4c-3d79-449e-bfb4-318f7e3773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[Medicine_Sales_Messy_2025.xlsx]Pivot_Table_Sheet!PivotTable6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Pivot_Table_Sheet!$H$3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Pivot_Table_Sheet!$G$4:$G$9</c:f>
              <c:strCache>
                <c:ptCount val="6"/>
                <c:pt idx="0">
                  <c:v>0-18</c:v>
                </c:pt>
                <c:pt idx="1">
                  <c:v>19 -35</c:v>
                </c:pt>
                <c:pt idx="2">
                  <c:v>19-35</c:v>
                </c:pt>
                <c:pt idx="3">
                  <c:v>26-40</c:v>
                </c:pt>
                <c:pt idx="4">
                  <c:v>36-60</c:v>
                </c:pt>
                <c:pt idx="5">
                  <c:v>60+</c:v>
                </c:pt>
              </c:strCache>
            </c:strRef>
          </c:cat>
          <c:val>
            <c:numRef>
              <c:f>Pivot_Table_Sheet!$H$4:$H$9</c:f>
              <c:numCache>
                <c:formatCode>General</c:formatCode>
                <c:ptCount val="6"/>
                <c:pt idx="0">
                  <c:v>85</c:v>
                </c:pt>
                <c:pt idx="1">
                  <c:v>75</c:v>
                </c:pt>
                <c:pt idx="2">
                  <c:v>83</c:v>
                </c:pt>
                <c:pt idx="3">
                  <c:v>88</c:v>
                </c:pt>
                <c:pt idx="4">
                  <c:v>102</c:v>
                </c:pt>
                <c:pt idx="5">
                  <c:v>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0445682"/>
        <c:axId val="694411763"/>
      </c:lineChart>
      <c:catAx>
        <c:axId val="1104456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4411763"/>
        <c:crosses val="autoZero"/>
        <c:auto val="1"/>
        <c:lblAlgn val="ctr"/>
        <c:lblOffset val="100"/>
        <c:noMultiLvlLbl val="0"/>
      </c:catAx>
      <c:valAx>
        <c:axId val="6944117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4456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48d5bf-1bdf-4758-b2f8-2ede8eebee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[Medicine_Sales_Messy_2025.xlsx]Pivot_Table_Sheet!PivotTable8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Pivot_Table_Sheet!$K$3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Pivot_Table_Sheet!$J$4:$J$7</c:f>
              <c:strCache>
                <c:ptCount val="4"/>
                <c:pt idx="0">
                  <c:v>MedA</c:v>
                </c:pt>
                <c:pt idx="1">
                  <c:v>MedB</c:v>
                </c:pt>
                <c:pt idx="2">
                  <c:v>MedC</c:v>
                </c:pt>
                <c:pt idx="3">
                  <c:v>MedD</c:v>
                </c:pt>
              </c:strCache>
            </c:strRef>
          </c:cat>
          <c:val>
            <c:numRef>
              <c:f>Pivot_Table_Sheet!$K$4:$K$7</c:f>
              <c:numCache>
                <c:formatCode>General</c:formatCode>
                <c:ptCount val="4"/>
                <c:pt idx="0">
                  <c:v>3293</c:v>
                </c:pt>
                <c:pt idx="1">
                  <c:v>3269</c:v>
                </c:pt>
                <c:pt idx="2">
                  <c:v>2847</c:v>
                </c:pt>
                <c:pt idx="3">
                  <c:v>3975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026a38-c43e-4cf8-9c5b-7fcdf714cf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[Medicine_Sales_Messy_2025.xlsx]Pivot_Table_Sheet!PivotTable4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Pivot_Table_Sheet!$B$12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Pivot_Table_Sheet!$A$13:$A$17</c:f>
              <c:strCache>
                <c:ptCount val="5"/>
                <c:pt idx="0">
                  <c:v>Asthma</c:v>
                </c:pt>
                <c:pt idx="1">
                  <c:v>Cold</c:v>
                </c:pt>
                <c:pt idx="2">
                  <c:v>Diabetes</c:v>
                </c:pt>
                <c:pt idx="3">
                  <c:v>Flu</c:v>
                </c:pt>
                <c:pt idx="4">
                  <c:v>Hypertension</c:v>
                </c:pt>
              </c:strCache>
            </c:strRef>
          </c:cat>
          <c:val>
            <c:numRef>
              <c:f>Pivot_Table_Sheet!$B$13:$B$17</c:f>
              <c:numCache>
                <c:formatCode>General</c:formatCode>
                <c:ptCount val="5"/>
                <c:pt idx="0">
                  <c:v>106770.91</c:v>
                </c:pt>
                <c:pt idx="1">
                  <c:v>167091.61</c:v>
                </c:pt>
                <c:pt idx="2">
                  <c:v>162238.89</c:v>
                </c:pt>
                <c:pt idx="3">
                  <c:v>117715.44</c:v>
                </c:pt>
                <c:pt idx="4">
                  <c:v>142254.29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88208"/>
        <c:axId val="40493277"/>
      </c:radarChart>
      <c:catAx>
        <c:axId val="206888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93277"/>
        <c:crosses val="autoZero"/>
        <c:auto val="1"/>
        <c:lblAlgn val="ctr"/>
        <c:lblOffset val="100"/>
        <c:noMultiLvlLbl val="0"/>
      </c:catAx>
      <c:valAx>
        <c:axId val="404932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688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30a863-9266-4593-be37-da92cbe7b6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[Medicine_Sales_Messy_2025.xlsx]Pivot_Table_Sheet!PivotTable5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50210526315789"/>
          <c:y val="0.249305554562145"/>
          <c:w val="0.723868421052631"/>
          <c:h val="0.534120372357192"/>
        </c:manualLayout>
      </c:layout>
      <c:lineChart>
        <c:grouping val="standard"/>
        <c:varyColors val="0"/>
        <c:ser>
          <c:idx val="0"/>
          <c:order val="0"/>
          <c:tx>
            <c:strRef>
              <c:f>Pivot_Table_Sheet!$E$12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Pivot_Table_Sheet!$D$13:$D$18</c:f>
              <c:strCache>
                <c:ptCount val="6"/>
                <c:pt idx="0">
                  <c:v>0-18</c:v>
                </c:pt>
                <c:pt idx="1">
                  <c:v>19 -35</c:v>
                </c:pt>
                <c:pt idx="2">
                  <c:v>19-35</c:v>
                </c:pt>
                <c:pt idx="3">
                  <c:v>26-40</c:v>
                </c:pt>
                <c:pt idx="4">
                  <c:v>36-60</c:v>
                </c:pt>
                <c:pt idx="5">
                  <c:v>60+</c:v>
                </c:pt>
              </c:strCache>
            </c:strRef>
          </c:cat>
          <c:val>
            <c:numRef>
              <c:f>Pivot_Table_Sheet!$E$13:$E$18</c:f>
              <c:numCache>
                <c:formatCode>General</c:formatCode>
                <c:ptCount val="6"/>
                <c:pt idx="0">
                  <c:v>123415.11</c:v>
                </c:pt>
                <c:pt idx="1">
                  <c:v>97467.45</c:v>
                </c:pt>
                <c:pt idx="2">
                  <c:v>112620.59</c:v>
                </c:pt>
                <c:pt idx="3">
                  <c:v>123915.06</c:v>
                </c:pt>
                <c:pt idx="4">
                  <c:v>152353.38</c:v>
                </c:pt>
                <c:pt idx="5">
                  <c:v>86299.55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2485101"/>
        <c:axId val="575123242"/>
      </c:lineChart>
      <c:catAx>
        <c:axId val="8724851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123242"/>
        <c:crosses val="autoZero"/>
        <c:auto val="1"/>
        <c:lblAlgn val="ctr"/>
        <c:lblOffset val="100"/>
        <c:noMultiLvlLbl val="0"/>
      </c:catAx>
      <c:valAx>
        <c:axId val="5751232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24851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35a23d-8c79-48f1-a0e9-177bcd8eb6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[Medicine_Sales_Messy_2025.xlsx]Pivot_Table_Sheet!PivotTable7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Pivot_Table_Sheet!$H$12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Pivot_Table_Sheet!$G$13:$G$16</c:f>
              <c:strCach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strCache>
            </c:strRef>
          </c:cat>
          <c:val>
            <c:numRef>
              <c:f>Pivot_Table_Sheet!$H$13:$H$16</c:f>
              <c:numCache>
                <c:formatCode>General</c:formatCode>
                <c:ptCount val="4"/>
                <c:pt idx="0">
                  <c:v>270422</c:v>
                </c:pt>
                <c:pt idx="1">
                  <c:v>157577.83</c:v>
                </c:pt>
                <c:pt idx="2">
                  <c:v>121199.03</c:v>
                </c:pt>
                <c:pt idx="3">
                  <c:v>146872.28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13742721"/>
        <c:axId val="327475687"/>
      </c:barChart>
      <c:catAx>
        <c:axId val="41374272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475687"/>
        <c:crosses val="autoZero"/>
        <c:auto val="1"/>
        <c:lblAlgn val="ctr"/>
        <c:lblOffset val="100"/>
        <c:noMultiLvlLbl val="0"/>
      </c:catAx>
      <c:valAx>
        <c:axId val="327475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7427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753511-b8ce-4724-aee4-b3352dce54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[Medicine_Sales_Messy_2025.xlsx]Pivot_Table_Sheet!PivotTable9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Pivot_Table_Sheet!$K$12</c:f>
              <c:strCache>
                <c:ptCount val="1"/>
                <c:pt idx="0">
                  <c:v>Sum of Sale_ID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Pivot_Table_Sheet!$J$13:$J$14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Pivot_Table_Sheet!$K$13:$K$14</c:f>
              <c:numCache>
                <c:formatCode>General</c:formatCode>
                <c:ptCount val="2"/>
                <c:pt idx="0">
                  <c:v>85785</c:v>
                </c:pt>
                <c:pt idx="1">
                  <c:v>39465</c:v>
                </c:pt>
              </c:numCache>
            </c:numRef>
          </c:val>
        </c:ser>
        <c:ser>
          <c:idx val="1"/>
          <c:order val="1"/>
          <c:tx>
            <c:strRef>
              <c:f>Pivot_Table_Sheet!$L$12</c:f>
              <c:strCache>
                <c:ptCount val="1"/>
                <c:pt idx="0">
                  <c:v>Count of State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Pivot_Table_Sheet!$J$13:$J$14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Pivot_Table_Sheet!$L$13:$L$14</c:f>
              <c:numCache>
                <c:formatCode>General</c:formatCode>
                <c:ptCount val="2"/>
                <c:pt idx="0">
                  <c:v>346</c:v>
                </c:pt>
                <c:pt idx="1">
                  <c:v>154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7e530e-bed2-4e7b-976c-7f26bd662f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7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355600</xdr:colOff>
      <xdr:row>0</xdr:row>
      <xdr:rowOff>184150</xdr:rowOff>
    </xdr:from>
    <xdr:to>
      <xdr:col>8</xdr:col>
      <xdr:colOff>304800</xdr:colOff>
      <xdr:row>15</xdr:row>
      <xdr:rowOff>69850</xdr:rowOff>
    </xdr:to>
    <xdr:graphicFrame>
      <xdr:nvGraphicFramePr>
        <xdr:cNvPr id="2" name="Chart 1"/>
        <xdr:cNvGraphicFramePr/>
      </xdr:nvGraphicFramePr>
      <xdr:xfrm>
        <a:off x="355600" y="184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346075</xdr:colOff>
      <xdr:row>1</xdr:row>
      <xdr:rowOff>50800</xdr:rowOff>
    </xdr:from>
    <xdr:to>
      <xdr:col>17</xdr:col>
      <xdr:colOff>295275</xdr:colOff>
      <xdr:row>15</xdr:row>
      <xdr:rowOff>127000</xdr:rowOff>
    </xdr:to>
    <xdr:graphicFrame>
      <xdr:nvGraphicFramePr>
        <xdr:cNvPr id="3" name="Chart 2"/>
        <xdr:cNvGraphicFramePr/>
      </xdr:nvGraphicFramePr>
      <xdr:xfrm>
        <a:off x="5832475" y="241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107950</xdr:colOff>
      <xdr:row>1</xdr:row>
      <xdr:rowOff>79375</xdr:rowOff>
    </xdr:from>
    <xdr:to>
      <xdr:col>26</xdr:col>
      <xdr:colOff>57150</xdr:colOff>
      <xdr:row>15</xdr:row>
      <xdr:rowOff>155575</xdr:rowOff>
    </xdr:to>
    <xdr:graphicFrame>
      <xdr:nvGraphicFramePr>
        <xdr:cNvPr id="4" name="Chart 3"/>
        <xdr:cNvGraphicFramePr/>
      </xdr:nvGraphicFramePr>
      <xdr:xfrm>
        <a:off x="11080750" y="269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400050</xdr:colOff>
      <xdr:row>1</xdr:row>
      <xdr:rowOff>98425</xdr:rowOff>
    </xdr:from>
    <xdr:to>
      <xdr:col>34</xdr:col>
      <xdr:colOff>349250</xdr:colOff>
      <xdr:row>15</xdr:row>
      <xdr:rowOff>174625</xdr:rowOff>
    </xdr:to>
    <xdr:graphicFrame>
      <xdr:nvGraphicFramePr>
        <xdr:cNvPr id="5" name="Chart 4"/>
        <xdr:cNvGraphicFramePr/>
      </xdr:nvGraphicFramePr>
      <xdr:xfrm>
        <a:off x="16249650" y="2889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365125</xdr:colOff>
      <xdr:row>16</xdr:row>
      <xdr:rowOff>146050</xdr:rowOff>
    </xdr:from>
    <xdr:to>
      <xdr:col>8</xdr:col>
      <xdr:colOff>314325</xdr:colOff>
      <xdr:row>31</xdr:row>
      <xdr:rowOff>31750</xdr:rowOff>
    </xdr:to>
    <xdr:graphicFrame>
      <xdr:nvGraphicFramePr>
        <xdr:cNvPr id="6" name="Chart 5"/>
        <xdr:cNvGraphicFramePr/>
      </xdr:nvGraphicFramePr>
      <xdr:xfrm>
        <a:off x="365125" y="3194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384175</xdr:colOff>
      <xdr:row>16</xdr:row>
      <xdr:rowOff>136525</xdr:rowOff>
    </xdr:from>
    <xdr:to>
      <xdr:col>17</xdr:col>
      <xdr:colOff>333375</xdr:colOff>
      <xdr:row>31</xdr:row>
      <xdr:rowOff>22225</xdr:rowOff>
    </xdr:to>
    <xdr:graphicFrame>
      <xdr:nvGraphicFramePr>
        <xdr:cNvPr id="7" name="Chart 6"/>
        <xdr:cNvGraphicFramePr/>
      </xdr:nvGraphicFramePr>
      <xdr:xfrm>
        <a:off x="5870575" y="3184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98425</xdr:colOff>
      <xdr:row>16</xdr:row>
      <xdr:rowOff>155575</xdr:rowOff>
    </xdr:from>
    <xdr:to>
      <xdr:col>26</xdr:col>
      <xdr:colOff>47625</xdr:colOff>
      <xdr:row>31</xdr:row>
      <xdr:rowOff>41275</xdr:rowOff>
    </xdr:to>
    <xdr:graphicFrame>
      <xdr:nvGraphicFramePr>
        <xdr:cNvPr id="8" name="Chart 7"/>
        <xdr:cNvGraphicFramePr/>
      </xdr:nvGraphicFramePr>
      <xdr:xfrm>
        <a:off x="11071225" y="3203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419100</xdr:colOff>
      <xdr:row>17</xdr:row>
      <xdr:rowOff>60325</xdr:rowOff>
    </xdr:from>
    <xdr:to>
      <xdr:col>34</xdr:col>
      <xdr:colOff>368300</xdr:colOff>
      <xdr:row>31</xdr:row>
      <xdr:rowOff>136525</xdr:rowOff>
    </xdr:to>
    <xdr:graphicFrame>
      <xdr:nvGraphicFramePr>
        <xdr:cNvPr id="9" name="Chart 8"/>
        <xdr:cNvGraphicFramePr/>
      </xdr:nvGraphicFramePr>
      <xdr:xfrm>
        <a:off x="16268700" y="32988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3.5519444444" refreshedBy="USER" recordCount="500">
  <cacheSource type="worksheet">
    <worksheetSource name="Table2"/>
  </cacheSource>
  <cacheFields count="20">
    <cacheField name="Sale_ID" numFmtId="0">
      <sharedItems containsSemiMixedTypes="0" containsString="0" containsNumber="1" containsInteger="1" minValue="1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Sale_Date" numFmtId="180">
      <sharedItems containsSemiMixedTypes="0" containsString="0" containsNonDate="0" containsDate="1" minDate="2025-01-03T00:00:00" maxDate="2025-12-31T00:00:00" count="272">
        <d v="2025-11-24T00:00:00"/>
        <d v="2025-04-30T00:00:00"/>
        <d v="2025-06-22T00:00:00"/>
        <d v="2025-10-23T00:00:00"/>
        <d v="2025-04-18T00:00:00"/>
        <d v="2025-12-17T00:00:00"/>
        <d v="2025-03-15T00:00:00"/>
        <d v="2025-11-18T00:00:00"/>
        <d v="2025-11-25T00:00:00"/>
        <d v="2025-10-04T00:00:00"/>
        <d v="2025-09-06T00:00:00"/>
        <d v="2025-12-10T00:00:00"/>
        <d v="2025-04-28T00:00:00"/>
        <d v="2025-02-19T00:00:00"/>
        <d v="2025-03-13T00:00:00"/>
        <d v="2025-09-04T00:00:00"/>
        <d v="2025-04-22T00:00:00"/>
        <d v="2025-12-12T00:00:00"/>
        <d v="2025-05-03T00:00:00"/>
        <d v="2025-03-09T00:00:00"/>
        <d v="2025-02-24T00:00:00"/>
        <d v="2025-05-22T00:00:00"/>
        <d v="2025-07-09T00:00:00"/>
        <d v="2025-05-02T00:00:00"/>
        <d v="2025-04-24T00:00:00"/>
        <d v="2025-12-14T00:00:00"/>
        <d v="2025-07-17T00:00:00"/>
        <d v="2025-06-17T00:00:00"/>
        <d v="2025-08-09T00:00:00"/>
        <d v="2025-02-17T00:00:00"/>
        <d v="2025-12-23T00:00:00"/>
        <d v="2025-08-26T00:00:00"/>
        <d v="2025-09-24T00:00:00"/>
        <d v="2025-12-28T00:00:00"/>
        <d v="2025-06-02T00:00:00"/>
        <d v="2025-03-26T00:00:00"/>
        <d v="2025-04-19T00:00:00"/>
        <d v="2025-01-16T00:00:00"/>
        <d v="2025-03-25T00:00:00"/>
        <d v="2025-10-17T00:00:00"/>
        <d v="2025-08-11T00:00:00"/>
        <d v="2025-05-05T00:00:00"/>
        <d v="2025-11-02T00:00:00"/>
        <d v="2025-05-31T00:00:00"/>
        <d v="2025-04-29T00:00:00"/>
        <d v="2025-04-02T00:00:00"/>
        <d v="2025-09-03T00:00:00"/>
        <d v="2025-05-08T00:00:00"/>
        <d v="2025-11-09T00:00:00"/>
        <d v="2025-05-30T00:00:00"/>
        <d v="2025-05-17T00:00:00"/>
        <d v="2025-08-10T00:00:00"/>
        <d v="2025-05-23T00:00:00"/>
        <d v="2025-12-06T00:00:00"/>
        <d v="2025-11-15T00:00:00"/>
        <d v="2025-10-10T00:00:00"/>
        <d v="2025-08-22T00:00:00"/>
        <d v="2025-10-28T00:00:00"/>
        <d v="2025-10-20T00:00:00"/>
        <d v="2025-02-21T00:00:00"/>
        <d v="2025-11-29T00:00:00"/>
        <d v="2025-02-20T00:00:00"/>
        <d v="2025-09-29T00:00:00"/>
        <d v="2025-05-11T00:00:00"/>
        <d v="2025-07-16T00:00:00"/>
        <d v="2025-05-27T00:00:00"/>
        <d v="2025-02-28T00:00:00"/>
        <d v="2025-10-27T00:00:00"/>
        <d v="2025-12-18T00:00:00"/>
        <d v="2025-03-06T00:00:00"/>
        <d v="2025-03-31T00:00:00"/>
        <d v="2025-08-18T00:00:00"/>
        <d v="2025-08-07T00:00:00"/>
        <d v="2025-08-21T00:00:00"/>
        <d v="2025-06-10T00:00:00"/>
        <d v="2025-03-21T00:00:00"/>
        <d v="2025-12-26T00:00:00"/>
        <d v="2025-03-22T00:00:00"/>
        <d v="2025-01-04T00:00:00"/>
        <d v="2025-09-14T00:00:00"/>
        <d v="2025-05-29T00:00:00"/>
        <d v="2025-06-08T00:00:00"/>
        <d v="2025-04-12T00:00:00"/>
        <d v="2025-08-29T00:00:00"/>
        <d v="2025-11-11T00:00:00"/>
        <d v="2025-02-13T00:00:00"/>
        <d v="2025-11-20T00:00:00"/>
        <d v="2025-06-29T00:00:00"/>
        <d v="2025-07-05T00:00:00"/>
        <d v="2025-01-27T00:00:00"/>
        <d v="2025-06-28T00:00:00"/>
        <d v="2025-03-04T00:00:00"/>
        <d v="2025-05-04T00:00:00"/>
        <d v="2025-07-11T00:00:00"/>
        <d v="2025-10-06T00:00:00"/>
        <d v="2025-06-23T00:00:00"/>
        <d v="2025-12-05T00:00:00"/>
        <d v="2025-07-06T00:00:00"/>
        <d v="2025-09-23T00:00:00"/>
        <d v="2025-08-16T00:00:00"/>
        <d v="2025-09-10T00:00:00"/>
        <d v="2025-10-22T00:00:00"/>
        <d v="2025-09-15T00:00:00"/>
        <d v="2025-11-13T00:00:00"/>
        <d v="2025-08-14T00:00:00"/>
        <d v="2025-06-13T00:00:00"/>
        <d v="2025-04-08T00:00:00"/>
        <d v="2025-01-26T00:00:00"/>
        <d v="2025-10-19T00:00:00"/>
        <d v="2025-10-13T00:00:00"/>
        <d v="2025-12-11T00:00:00"/>
        <d v="2025-03-17T00:00:00"/>
        <d v="2025-02-01T00:00:00"/>
        <d v="2025-05-07T00:00:00"/>
        <d v="2025-07-22T00:00:00"/>
        <d v="2025-03-12T00:00:00"/>
        <d v="2025-01-03T00:00:00"/>
        <d v="2025-01-19T00:00:00"/>
        <d v="2025-03-10T00:00:00"/>
        <d v="2025-08-01T00:00:00"/>
        <d v="2025-10-21T00:00:00"/>
        <d v="2025-10-05T00:00:00"/>
        <d v="2025-12-16T00:00:00"/>
        <d v="2025-09-30T00:00:00"/>
        <d v="2025-11-17T00:00:00"/>
        <d v="2025-04-26T00:00:00"/>
        <d v="2025-08-19T00:00:00"/>
        <d v="2025-05-25T00:00:00"/>
        <d v="2025-07-31T00:00:00"/>
        <d v="2025-05-12T00:00:00"/>
        <d v="2025-09-26T00:00:00"/>
        <d v="2025-12-04T00:00:00"/>
        <d v="2025-12-01T00:00:00"/>
        <d v="2025-09-09T00:00:00"/>
        <d v="2025-12-31T00:00:00"/>
        <d v="2025-04-06T00:00:00"/>
        <d v="2025-08-04T00:00:00"/>
        <d v="2025-07-12T00:00:00"/>
        <d v="2025-07-29T00:00:00"/>
        <d v="2025-01-06T00:00:00"/>
        <d v="2025-04-16T00:00:00"/>
        <d v="2025-03-01T00:00:00"/>
        <d v="2025-09-08T00:00:00"/>
        <d v="2025-08-13T00:00:00"/>
        <d v="2025-06-15T00:00:00"/>
        <d v="2025-12-22T00:00:00"/>
        <d v="2025-05-18T00:00:00"/>
        <d v="2025-01-05T00:00:00"/>
        <d v="2025-07-18T00:00:00"/>
        <d v="2025-07-23T00:00:00"/>
        <d v="2025-11-10T00:00:00"/>
        <d v="2025-03-27T00:00:00"/>
        <d v="2025-01-29T00:00:00"/>
        <d v="2025-08-30T00:00:00"/>
        <d v="2025-10-16T00:00:00"/>
        <d v="2025-08-27T00:00:00"/>
        <d v="2025-04-21T00:00:00"/>
        <d v="2025-02-18T00:00:00"/>
        <d v="2025-11-27T00:00:00"/>
        <d v="2025-03-30T00:00:00"/>
        <d v="2025-02-14T00:00:00"/>
        <d v="2025-10-18T00:00:00"/>
        <d v="2025-06-19T00:00:00"/>
        <d v="2025-03-07T00:00:00"/>
        <d v="2025-01-11T00:00:00"/>
        <d v="2025-11-07T00:00:00"/>
        <d v="2025-07-21T00:00:00"/>
        <d v="2025-11-23T00:00:00"/>
        <d v="2025-08-17T00:00:00"/>
        <d v="2025-07-30T00:00:00"/>
        <d v="2025-03-11T00:00:00"/>
        <d v="2025-09-16T00:00:00"/>
        <d v="2025-05-26T00:00:00"/>
        <d v="2025-11-04T00:00:00"/>
        <d v="2025-05-14T00:00:00"/>
        <d v="2025-06-01T00:00:00"/>
        <d v="2025-10-01T00:00:00"/>
        <d v="2025-04-07T00:00:00"/>
        <d v="2025-10-08T00:00:00"/>
        <d v="2025-04-17T00:00:00"/>
        <d v="2025-12-20T00:00:00"/>
        <d v="2025-12-09T00:00:00"/>
        <d v="2025-08-24T00:00:00"/>
        <d v="2025-02-16T00:00:00"/>
        <d v="2025-12-03T00:00:00"/>
        <d v="2025-12-30T00:00:00"/>
        <d v="2025-07-15T00:00:00"/>
        <d v="2025-11-12T00:00:00"/>
        <d v="2025-01-21T00:00:00"/>
        <d v="2025-11-30T00:00:00"/>
        <d v="2025-11-28T00:00:00"/>
        <d v="2025-07-28T00:00:00"/>
        <d v="2025-10-07T00:00:00"/>
        <d v="2025-05-09T00:00:00"/>
        <d v="2025-06-18T00:00:00"/>
        <d v="2025-05-24T00:00:00"/>
        <d v="2025-09-21T00:00:00"/>
        <d v="2025-07-07T00:00:00"/>
        <d v="2025-10-26T00:00:00"/>
        <d v="2025-01-09T00:00:00"/>
        <d v="2025-11-05T00:00:00"/>
        <d v="2025-08-06T00:00:00"/>
        <d v="2025-04-20T00:00:00"/>
        <d v="2025-04-10T00:00:00"/>
        <d v="2025-12-13T00:00:00"/>
        <d v="2025-02-08T00:00:00"/>
        <d v="2025-04-03T00:00:00"/>
        <d v="2025-11-06T00:00:00"/>
        <d v="2025-12-02T00:00:00"/>
        <d v="2025-02-15T00:00:00"/>
        <d v="2025-09-02T00:00:00"/>
        <d v="2025-07-13T00:00:00"/>
        <d v="2025-10-09T00:00:00"/>
        <d v="2025-07-03T00:00:00"/>
        <d v="2025-11-03T00:00:00"/>
        <d v="2025-11-14T00:00:00"/>
        <d v="2025-02-26T00:00:00"/>
        <d v="2025-09-28T00:00:00"/>
        <d v="2025-07-04T00:00:00"/>
        <d v="2025-11-01T00:00:00"/>
        <d v="2025-11-21T00:00:00"/>
        <d v="2025-11-16T00:00:00"/>
        <d v="2025-06-06T00:00:00"/>
        <d v="2025-02-25T00:00:00"/>
        <d v="2025-06-09T00:00:00"/>
        <d v="2025-06-12T00:00:00"/>
        <d v="2025-03-19T00:00:00"/>
        <d v="2025-09-22T00:00:00"/>
        <d v="2025-08-03T00:00:00"/>
        <d v="2025-11-08T00:00:00"/>
        <d v="2025-02-04T00:00:00"/>
        <d v="2025-10-14T00:00:00"/>
        <d v="2025-10-02T00:00:00"/>
        <d v="2025-03-14T00:00:00"/>
        <d v="2025-12-24T00:00:00"/>
        <d v="2025-06-16T00:00:00"/>
        <d v="2025-08-02T00:00:00"/>
        <d v="2025-08-31T00:00:00"/>
        <d v="2025-06-21T00:00:00"/>
        <d v="2025-01-30T00:00:00"/>
        <d v="2025-01-18T00:00:00"/>
        <d v="2025-07-20T00:00:00"/>
        <d v="2025-10-11T00:00:00"/>
        <d v="2025-01-08T00:00:00"/>
        <d v="2025-02-11T00:00:00"/>
        <d v="2025-03-02T00:00:00"/>
        <d v="2025-09-12T00:00:00"/>
        <d v="2025-08-25T00:00:00"/>
        <d v="2025-08-20T00:00:00"/>
        <d v="2025-05-28T00:00:00"/>
        <d v="2025-08-23T00:00:00"/>
        <d v="2025-10-15T00:00:00"/>
        <d v="2025-02-12T00:00:00"/>
        <d v="2025-01-15T00:00:00"/>
        <d v="2025-05-13T00:00:00"/>
        <d v="2025-01-22T00:00:00"/>
        <d v="2025-04-09T00:00:00"/>
        <d v="2025-01-07T00:00:00"/>
        <d v="2025-04-13T00:00:00"/>
        <d v="2025-09-01T00:00:00"/>
        <d v="2025-05-01T00:00:00"/>
        <d v="2025-10-31T00:00:00"/>
        <d v="2025-04-14T00:00:00"/>
        <d v="2025-02-02T00:00:00"/>
        <d v="2025-06-20T00:00:00"/>
        <d v="2025-11-19T00:00:00"/>
        <d v="2025-02-07T00:00:00"/>
        <d v="2025-06-04T00:00:00"/>
        <d v="2025-03-28T00:00:00"/>
        <d v="2025-01-10T00:00:00"/>
        <d v="2025-07-01T00:00:00"/>
        <d v="2025-10-29T00:00:00"/>
      </sharedItems>
    </cacheField>
    <cacheField name="Region" numFmtId="0">
      <sharedItems count="5">
        <s v="North"/>
        <s v="Central"/>
        <s v="South"/>
        <s v="East"/>
        <s v="West"/>
      </sharedItems>
    </cacheField>
    <cacheField name="State" numFmtId="0">
      <sharedItems count="5">
        <s v="Ca"/>
        <s v="Il"/>
        <s v="Ny"/>
        <s v="Tx"/>
        <s v="Fl"/>
      </sharedItems>
    </cacheField>
    <cacheField name="City" numFmtId="0">
      <sharedItems count="50">
        <s v="City_48"/>
        <s v="City_2"/>
        <s v="City_25"/>
        <s v="City_5"/>
        <s v="City_45"/>
        <s v="City_50"/>
        <s v="City_16"/>
        <s v="City_44"/>
        <s v="City_19"/>
        <s v="City_1"/>
        <s v="City_49"/>
        <s v="City_29"/>
        <s v="City_22"/>
        <s v="City_23"/>
        <s v="City_18"/>
        <s v="City_26"/>
        <s v="City_9"/>
        <s v="City_10"/>
        <s v="City_12"/>
        <s v="City_30"/>
        <s v="City_17"/>
        <s v="City_39"/>
        <s v="City_36"/>
        <s v="City_27"/>
        <s v="City_38"/>
        <s v="City_34"/>
        <s v="City_37"/>
        <s v="City_13"/>
        <s v="City_46"/>
        <s v="City_28"/>
        <s v="City_41"/>
        <s v="City_32"/>
        <s v="City_7"/>
        <s v="City_15"/>
        <s v="City_21"/>
        <s v="City_42"/>
        <s v="City_14"/>
        <s v="City_33"/>
        <s v="City_43"/>
        <s v="City_47"/>
        <s v="City_20"/>
        <s v="City_31"/>
        <s v="City_24"/>
        <s v="City_4"/>
        <s v="City_3"/>
        <s v="City_8"/>
        <s v="City_11"/>
        <s v="City_35"/>
        <s v="City_6"/>
        <s v="City_40"/>
      </sharedItems>
    </cacheField>
    <cacheField name="Gender" numFmtId="0">
      <sharedItems count="4">
        <s v="Other"/>
        <s v="Female"/>
        <s v="Male"/>
        <s v="Unknown"/>
      </sharedItems>
    </cacheField>
    <cacheField name="Age_Group" numFmtId="0">
      <sharedItems count="6">
        <s v="19-35"/>
        <s v="36-60"/>
        <s v="26-40"/>
        <s v="19 -35"/>
        <s v="60+"/>
        <s v="0-18"/>
      </sharedItems>
    </cacheField>
    <cacheField name="Season" numFmtId="0">
      <sharedItems count="4">
        <s v="Summer"/>
        <s v="Winter"/>
        <s v="Monsoon"/>
        <s v="Spring"/>
      </sharedItems>
    </cacheField>
    <cacheField name="Disease" numFmtId="0">
      <sharedItems count="5">
        <s v="Diabetes"/>
        <s v="Cold"/>
        <s v="Asthma"/>
        <s v="Hypertension"/>
        <s v="Flu"/>
      </sharedItems>
    </cacheField>
    <cacheField name="Medicine_Name" numFmtId="0">
      <sharedItems count="4">
        <s v="MedA"/>
        <s v="MedB"/>
        <s v="MedC"/>
        <s v="MedD"/>
      </sharedItems>
    </cacheField>
    <cacheField name="Quantity_Sold" numFmtId="0">
      <sharedItems containsSemiMixedTypes="0" containsString="0" containsNumber="1" containsInteger="1" minValue="1" maxValue="50" count="50">
        <n v="44"/>
        <n v="29"/>
        <n v="3"/>
        <n v="15"/>
        <n v="35"/>
        <n v="18"/>
        <n v="38"/>
        <n v="39"/>
        <n v="33"/>
        <n v="24"/>
        <n v="17"/>
        <n v="5"/>
        <n v="14"/>
        <n v="4"/>
        <n v="40"/>
        <n v="49"/>
        <n v="36"/>
        <n v="43"/>
        <n v="2"/>
        <n v="32"/>
        <n v="6"/>
        <n v="31"/>
        <n v="46"/>
        <n v="1"/>
        <n v="30"/>
        <n v="47"/>
        <n v="26"/>
        <n v="50"/>
        <n v="11"/>
        <n v="27"/>
        <n v="19"/>
        <n v="42"/>
        <n v="22"/>
        <n v="25"/>
        <n v="45"/>
        <n v="7"/>
        <n v="8"/>
        <n v="28"/>
        <n v="10"/>
        <n v="34"/>
        <n v="20"/>
        <n v="37"/>
        <n v="23"/>
        <n v="9"/>
        <n v="16"/>
        <n v="21"/>
        <n v="41"/>
        <n v="13"/>
        <n v="48"/>
        <n v="12"/>
      </sharedItems>
    </cacheField>
    <cacheField name="Unit_Price" numFmtId="0">
      <sharedItems containsSemiMixedTypes="0" containsString="0" containsNumber="1" minValue="5.34" maxValue="99.96" count="489">
        <n v="75.36"/>
        <n v="60.98"/>
        <n v="74.32"/>
        <n v="87.32"/>
        <n v="74.27"/>
        <n v="11.29"/>
        <n v="42.94"/>
        <n v="99.63"/>
        <n v="77.39"/>
        <n v="88.48"/>
        <n v="55.13"/>
        <n v="37.12"/>
        <n v="56.23"/>
        <n v="43.25"/>
        <n v="66.95"/>
        <n v="93.02"/>
        <n v="50.29"/>
        <n v="12.79"/>
        <n v="93.89"/>
        <n v="98.47"/>
        <n v="70.31"/>
        <n v="72.04"/>
        <n v="90.4"/>
        <n v="87.09"/>
        <n v="23.35"/>
        <n v="15.3"/>
        <n v="45.97"/>
        <n v="76.07"/>
        <n v="25.3"/>
        <n v="9.39"/>
        <n v="21.71"/>
        <n v="47.36"/>
        <n v="36.91"/>
        <n v="24.65"/>
        <n v="25.85"/>
        <n v="66.06"/>
        <n v="6.84"/>
        <n v="15.87"/>
        <n v="23.84"/>
        <n v="85.71"/>
        <n v="46.38"/>
        <n v="85.84"/>
        <n v="43.61"/>
        <n v="55.44"/>
        <n v="75.17"/>
        <n v="32.75"/>
        <n v="51.72"/>
        <n v="54.64"/>
        <n v="27.79"/>
        <n v="79.84"/>
        <n v="16.81"/>
        <n v="68.87"/>
        <n v="36.66"/>
        <n v="35.71"/>
        <n v="46.62"/>
        <n v="84.05"/>
        <n v="78.4"/>
        <n v="57.43"/>
        <n v="98.9"/>
        <n v="87.74"/>
        <n v="8.41"/>
        <n v="35.82"/>
        <n v="69.9"/>
        <n v="94.8"/>
        <n v="33.05"/>
        <n v="76.78"/>
        <n v="88.26"/>
        <n v="80.11"/>
        <n v="89"/>
        <n v="27.31"/>
        <n v="8.11"/>
        <n v="95.16"/>
        <n v="36.21"/>
        <n v="21.55"/>
        <n v="9.12"/>
        <n v="19.09"/>
        <n v="47.9"/>
        <n v="84.02"/>
        <n v="9.89"/>
        <n v="31.46"/>
        <n v="18.48"/>
        <n v="19.95"/>
        <n v="15.53"/>
        <n v="52.25"/>
        <n v="48.68"/>
        <n v="46.49"/>
        <n v="53.45"/>
        <n v="58.55"/>
        <n v="48.87"/>
        <n v="66.92"/>
        <n v="40.42"/>
        <n v="73.75"/>
        <n v="58.1"/>
        <n v="12.33"/>
        <n v="69.25"/>
        <n v="31.77"/>
        <n v="77.5"/>
        <n v="40.62"/>
        <n v="6.81"/>
        <n v="61.69"/>
        <n v="95.57"/>
        <n v="60.28"/>
        <n v="32.88"/>
        <n v="36.53"/>
        <n v="45.33"/>
        <n v="47.48"/>
        <n v="16.99"/>
        <n v="34.87"/>
        <n v="92.07"/>
        <n v="85.88"/>
        <n v="88.41"/>
        <n v="28.81"/>
        <n v="8.91"/>
        <n v="81.45"/>
        <n v="35.34"/>
        <n v="32.57"/>
        <n v="13.55"/>
        <n v="45.94"/>
        <n v="57.24"/>
        <n v="8.7"/>
        <n v="83.69"/>
        <n v="96.87"/>
        <n v="34.8"/>
        <n v="95.89"/>
        <n v="50.58"/>
        <n v="92.78"/>
        <n v="27.12"/>
        <n v="32.11"/>
        <n v="58.96"/>
        <n v="48.6"/>
        <n v="68.58"/>
        <n v="67.1"/>
        <n v="25.98"/>
        <n v="47.44"/>
        <n v="60.4"/>
        <n v="82.56"/>
        <n v="65.94"/>
        <n v="42.34"/>
        <n v="94.05"/>
        <n v="46.7"/>
        <n v="54.52"/>
        <n v="44.55"/>
        <n v="57.94"/>
        <n v="69"/>
        <n v="99.96"/>
        <n v="88.87"/>
        <n v="19.48"/>
        <n v="80.52"/>
        <n v="26.99"/>
        <n v="73.61"/>
        <n v="12.51"/>
        <n v="50.22"/>
        <n v="9.42"/>
        <n v="84.29"/>
        <n v="78.06"/>
        <n v="78.36"/>
        <n v="5.49"/>
        <n v="38.62"/>
        <n v="30.55"/>
        <n v="15.16"/>
        <n v="34.85"/>
        <n v="77.92"/>
        <n v="45.2"/>
        <n v="28.58"/>
        <n v="40.54"/>
        <n v="54.51"/>
        <n v="81"/>
        <n v="63.34"/>
        <n v="35.97"/>
        <n v="21.39"/>
        <n v="41.45"/>
        <n v="23.54"/>
        <n v="56.07"/>
        <n v="14.73"/>
        <n v="63.53"/>
        <n v="79.64"/>
        <n v="44.35"/>
        <n v="68.09"/>
        <n v="89.94"/>
        <n v="13.87"/>
        <n v="14.04"/>
        <n v="41.39"/>
        <n v="38.36"/>
        <n v="28.54"/>
        <n v="41.66"/>
        <n v="11.93"/>
        <n v="65.85"/>
        <n v="95.58"/>
        <n v="18.04"/>
        <n v="30.84"/>
        <n v="69.04"/>
        <n v="28.59"/>
        <n v="85.26"/>
        <n v="78.71"/>
        <n v="24.49"/>
        <n v="14.08"/>
        <n v="27.19"/>
        <n v="30.18"/>
        <n v="9.65"/>
        <n v="83.25"/>
        <n v="20.96"/>
        <n v="63.82"/>
        <n v="79.28"/>
        <n v="81.82"/>
        <n v="21.73"/>
        <n v="8.61"/>
        <n v="19.03"/>
        <n v="35.14"/>
        <n v="62.23"/>
        <n v="24.92"/>
        <n v="40.66"/>
        <n v="12.13"/>
        <n v="57.64"/>
        <n v="32.98"/>
        <n v="76.46"/>
        <n v="33.39"/>
        <n v="19.05"/>
        <n v="44.37"/>
        <n v="31.16"/>
        <n v="85.07"/>
        <n v="75.39"/>
        <n v="28.7"/>
        <n v="47.38"/>
        <n v="24.64"/>
        <n v="85.9"/>
        <n v="70.02"/>
        <n v="81.52"/>
        <n v="74.02"/>
        <n v="13.48"/>
        <n v="89.5"/>
        <n v="12.68"/>
        <n v="46.2"/>
        <n v="5.39"/>
        <n v="54.43"/>
        <n v="7.08"/>
        <n v="15.27"/>
        <n v="14.59"/>
        <n v="97.45"/>
        <n v="68.56"/>
        <n v="81.15"/>
        <n v="82.42"/>
        <n v="14.85"/>
        <n v="46.87"/>
        <n v="74.03"/>
        <n v="27.88"/>
        <n v="98.16"/>
        <n v="68.79"/>
        <n v="83.84"/>
        <n v="83.33"/>
        <n v="93.85"/>
        <n v="42.8"/>
        <n v="64.3"/>
        <n v="76.05"/>
        <n v="28.8"/>
        <n v="79.51"/>
        <n v="71.94"/>
        <n v="30.1"/>
        <n v="57.27"/>
        <n v="39.28"/>
        <n v="29.38"/>
        <n v="11.22"/>
        <n v="13.31"/>
        <n v="16.24"/>
        <n v="83.1"/>
        <n v="8.97"/>
        <n v="15.89"/>
        <n v="67.27"/>
        <n v="96.07"/>
        <n v="39.08"/>
        <n v="52.61"/>
        <n v="8.84"/>
        <n v="35.79"/>
        <n v="82.64"/>
        <n v="39.41"/>
        <n v="17.15"/>
        <n v="25.58"/>
        <n v="70.13"/>
        <n v="50.21"/>
        <n v="88.11"/>
        <n v="22.96"/>
        <n v="45.24"/>
        <n v="72.02"/>
        <n v="5.5"/>
        <n v="96.54"/>
        <n v="8.43"/>
        <n v="32.03"/>
        <n v="11.88"/>
        <n v="86.89"/>
        <n v="84.06"/>
        <n v="94.98"/>
        <n v="69.2"/>
        <n v="76.27"/>
        <n v="70.48"/>
        <n v="52.38"/>
        <n v="46.06"/>
        <n v="58.4"/>
        <n v="39.23"/>
        <n v="35.88"/>
        <n v="12.52"/>
        <n v="20.9"/>
        <n v="78.24"/>
        <n v="55.04"/>
        <n v="76.15"/>
        <n v="54.72"/>
        <n v="40.5"/>
        <n v="66.6"/>
        <n v="35.46"/>
        <n v="25.63"/>
        <n v="49.66"/>
        <n v="68.27"/>
        <n v="87.05"/>
        <n v="61.64"/>
        <n v="27.1"/>
        <n v="71.22"/>
        <n v="56.45"/>
        <n v="69.91"/>
        <n v="15.17"/>
        <n v="49.47"/>
        <n v="73.89"/>
        <n v="48.58"/>
        <n v="44.17"/>
        <n v="17.83"/>
        <n v="8.58"/>
        <n v="36.77"/>
        <n v="58.67"/>
        <n v="19.06"/>
        <n v="42.56"/>
        <n v="23.1"/>
        <n v="75.26"/>
        <n v="54.71"/>
        <n v="67.2"/>
        <n v="51.04"/>
        <n v="70.01"/>
        <n v="34.35"/>
        <n v="7.8"/>
        <n v="58.87"/>
        <n v="50.02"/>
        <n v="51.54"/>
        <n v="15.39"/>
        <n v="83.62"/>
        <n v="60.62"/>
        <n v="66.61"/>
        <n v="41.16"/>
        <n v="5.34"/>
        <n v="12.54"/>
        <n v="59.92"/>
        <n v="76.19"/>
        <n v="86.64"/>
        <n v="85.54"/>
        <n v="7.28"/>
        <n v="34.24"/>
        <n v="50.52"/>
        <n v="55.91"/>
        <n v="16.1"/>
        <n v="79.57"/>
        <n v="69.29"/>
        <n v="54.45"/>
        <n v="31"/>
        <n v="89.76"/>
        <n v="38.78"/>
        <n v="18.65"/>
        <n v="85.35"/>
        <n v="63.98"/>
        <n v="68.61"/>
        <n v="51.96"/>
        <n v="24.54"/>
        <n v="96.95"/>
        <n v="56.79"/>
        <n v="73.53"/>
        <n v="82.91"/>
        <n v="59.75"/>
        <n v="89.54"/>
        <n v="74.71"/>
        <n v="99.08"/>
        <n v="21.59"/>
        <n v="76.51"/>
        <n v="49.08"/>
        <n v="34.99"/>
        <n v="69.15"/>
        <n v="17.34"/>
        <n v="12.03"/>
        <n v="18.67"/>
        <n v="67.02"/>
        <n v="79.19"/>
        <n v="55.79"/>
        <n v="13.06"/>
        <n v="8.52"/>
        <n v="74.87"/>
        <n v="11.08"/>
        <n v="84.46"/>
        <n v="92.94"/>
        <n v="81.7"/>
        <n v="95.28"/>
        <n v="64.51"/>
        <n v="28.88"/>
        <n v="60.08"/>
        <n v="51.02"/>
        <n v="8.05"/>
        <n v="97.16"/>
        <n v="60.05"/>
        <n v="12.89"/>
        <n v="49.06"/>
        <n v="30.63"/>
        <n v="66.58"/>
        <n v="90.3"/>
        <n v="63.99"/>
        <n v="54.47"/>
        <n v="66.24"/>
        <n v="97.22"/>
        <n v="97.67"/>
        <n v="90.12"/>
        <n v="38.95"/>
        <n v="51.59"/>
        <n v="13.32"/>
        <n v="84.07"/>
        <n v="84.25"/>
        <n v="46.43"/>
        <n v="10.02"/>
        <n v="83.55"/>
        <n v="89.52"/>
        <n v="17.37"/>
        <n v="91.31"/>
        <n v="38.04"/>
        <n v="71.32"/>
        <n v="17.91"/>
        <n v="98.57"/>
        <n v="18.62"/>
        <n v="72.78"/>
        <n v="26.93"/>
        <n v="12.27"/>
        <n v="88.61"/>
        <n v="34.68"/>
        <n v="97.23"/>
        <n v="45.67"/>
        <n v="21.13"/>
        <n v="59.39"/>
        <n v="30.19"/>
        <n v="80.59"/>
        <n v="52.42"/>
        <n v="86.72"/>
        <n v="28.33"/>
        <n v="85.99"/>
        <n v="59.24"/>
        <n v="15.15"/>
        <n v="28.4"/>
        <n v="41.55"/>
        <n v="35.13"/>
        <n v="44.98"/>
        <n v="59.7"/>
        <n v="23.87"/>
        <n v="29.87"/>
        <n v="51.94"/>
        <n v="43.81"/>
        <n v="87.79"/>
        <n v="94.24"/>
        <n v="21.14"/>
        <n v="31.88"/>
        <n v="26.84"/>
        <n v="15.69"/>
        <n v="77.85"/>
        <n v="19.61"/>
        <n v="41.91"/>
        <n v="47.32"/>
        <n v="69.26"/>
        <n v="59.01"/>
        <n v="52.83"/>
        <n v="96.84"/>
        <n v="67.3"/>
        <n v="23.13"/>
        <n v="50.03"/>
        <n v="36.72"/>
        <n v="10.77"/>
        <n v="32.36"/>
        <n v="72.58"/>
        <n v="51.76"/>
        <n v="37.08"/>
        <n v="9.79"/>
        <n v="74.19"/>
        <n v="32.24"/>
        <n v="92.21"/>
        <n v="92.64"/>
        <n v="13.82"/>
        <n v="29.68"/>
        <n v="33.42"/>
        <n v="45.36"/>
        <n v="70.46"/>
        <n v="8.1"/>
        <n v="32.93"/>
        <n v="87.69"/>
      </sharedItems>
    </cacheField>
    <cacheField name="Discount_%" numFmtId="0">
      <sharedItems containsSemiMixedTypes="0" containsString="0" containsNumber="1" containsInteger="1" minValue="0" maxValue="15" count="4">
        <n v="0"/>
        <n v="15"/>
        <n v="5"/>
        <n v="10"/>
      </sharedItems>
    </cacheField>
    <cacheField name="Total_Amount" numFmtId="0">
      <sharedItems containsSemiMixedTypes="0" containsString="0" containsNumber="1" minValue="17.04" maxValue="4798.08" count="499">
        <n v="3315.84"/>
        <n v="1768.42"/>
        <n v="222.96"/>
        <n v="1309.8"/>
        <n v="2599.45"/>
        <n v="203.22"/>
        <n v="1631.72"/>
        <n v="3885.57"/>
        <n v="2553.87"/>
        <n v="2123.52"/>
        <n v="937.21"/>
        <n v="185.6"/>
        <n v="787.22"/>
        <n v="173"/>
        <n v="267.8"/>
        <n v="1581.34"/>
        <n v="1911.02"/>
        <n v="511.6"/>
        <n v="4600.61"/>
        <n v="3938.8"/>
        <n v="984.34"/>
        <n v="2593.44"/>
        <n v="271.2"/>
        <n v="3744.87"/>
        <n v="1004.05"/>
        <n v="45.9"/>
        <n v="1103.28"/>
        <n v="3347.08"/>
        <n v="1113.2"/>
        <n v="18.78"/>
        <n v="325.65"/>
        <n v="1704.96"/>
        <n v="664.38"/>
        <n v="98.6"/>
        <n v="827.2"/>
        <n v="396.36"/>
        <n v="212.04"/>
        <n v="682.41"/>
        <n v="1096.64"/>
        <n v="85.71"/>
        <n v="1391.4"/>
        <n v="2746.88"/>
        <n v="2049.67"/>
        <n v="1995.84"/>
        <n v="1052.38"/>
        <n v="1179"/>
        <n v="1344.72"/>
        <n v="2732"/>
        <n v="305.69"/>
        <n v="1357.28"/>
        <n v="487.49"/>
        <n v="3374.63"/>
        <n v="989.82"/>
        <n v="607.07"/>
        <n v="885.78"/>
        <n v="3530.1"/>
        <n v="1411.2"/>
        <n v="1263.46"/>
        <n v="2472.5"/>
        <n v="2368.98"/>
        <n v="294.35"/>
        <n v="107.46"/>
        <n v="2796"/>
        <n v="2749.2"/>
        <n v="1487.25"/>
        <n v="3378.32"/>
        <n v="3089.1"/>
        <n v="480.66"/>
        <n v="3560"/>
        <n v="191.17"/>
        <n v="145.98"/>
        <n v="761.28"/>
        <n v="543.15"/>
        <n v="43.1"/>
        <n v="364.8"/>
        <n v="744.51"/>
        <n v="1341.2"/>
        <n v="504.12"/>
        <n v="464.83"/>
        <n v="1541.54"/>
        <n v="92.4"/>
        <n v="199.5"/>
        <n v="434.84"/>
        <n v="52.25"/>
        <n v="97.36"/>
        <n v="278.94"/>
        <n v="1817.3"/>
        <n v="2868.95"/>
        <n v="977.4"/>
        <n v="2476.04"/>
        <n v="970.08"/>
        <n v="1253.75"/>
        <n v="1162"/>
        <n v="123.3"/>
        <n v="1662"/>
        <n v="1588.5"/>
        <n v="465"/>
        <n v="243.72"/>
        <n v="40.86"/>
        <n v="1974.08"/>
        <n v="477.85"/>
        <n v="3014"/>
        <n v="98.64"/>
        <n v="1534.26"/>
        <n v="2130.51"/>
        <n v="1092.04"/>
        <n v="50.97"/>
        <n v="906.62"/>
        <n v="4143.15"/>
        <n v="1717.6"/>
        <n v="795.69"/>
        <n v="172.86"/>
        <n v="329.67"/>
        <n v="1303.2"/>
        <n v="1625.64"/>
        <n v="130.28"/>
        <n v="27.1"/>
        <n v="321.58"/>
        <n v="2804.76"/>
        <n v="26.1"/>
        <n v="2761.77"/>
        <n v="1646.79"/>
        <n v="1009.2"/>
        <n v="2013.69"/>
        <n v="1062.18"/>
        <n v="2133.94"/>
        <n v="1111.92"/>
        <n v="674.31"/>
        <n v="1179.2"/>
        <n v="2284.2"/>
        <n v="1783.08"/>
        <n v="1140.7"/>
        <n v="1039.2"/>
        <n v="1612.96"/>
        <n v="2778.4"/>
        <n v="1403.52"/>
        <n v="3297"/>
        <n v="1481.9"/>
        <n v="1222.65"/>
        <n v="1214.2"/>
        <n v="2344.36"/>
        <n v="2004.75"/>
        <n v="1564.38"/>
        <n v="1725"/>
        <n v="4798.08"/>
        <n v="2932.71"/>
        <n v="370.12"/>
        <n v="3784.44"/>
        <n v="1106.59"/>
        <n v="2502.74"/>
        <n v="325.26"/>
        <n v="1807.92"/>
        <n v="169.56"/>
        <n v="3118.73"/>
        <n v="3044.34"/>
        <n v="470.16"/>
        <n v="32.94"/>
        <n v="231.72"/>
        <n v="274.95"/>
        <n v="454.8"/>
        <n v="1080.35"/>
        <n v="3428.48"/>
        <n v="2079.2"/>
        <n v="1429"/>
        <n v="1175.66"/>
        <n v="763.14"/>
        <n v="3564"/>
        <n v="3040.32"/>
        <n v="863.28"/>
        <n v="855.6"/>
        <n v="1533.65"/>
        <n v="211.86"/>
        <n v="841.05"/>
        <n v="412.44"/>
        <n v="698.83"/>
        <n v="3902.36"/>
        <n v="1818.35"/>
        <n v="2791.69"/>
        <n v="1978.68"/>
        <n v="249.66"/>
        <n v="645.84"/>
        <n v="620.85"/>
        <n v="1112.44"/>
        <n v="256.86"/>
        <n v="1333.12"/>
        <n v="596.5"/>
        <n v="395.1"/>
        <n v="4492.26"/>
        <n v="829.84"/>
        <n v="863.52"/>
        <n v="2554.48"/>
        <n v="600.39"/>
        <n v="4263"/>
        <n v="3935.5"/>
        <n v="171.43"/>
        <n v="535.04"/>
        <n v="489.42"/>
        <n v="905.4"/>
        <n v="318.45"/>
        <n v="1082.25"/>
        <n v="83.84"/>
        <n v="2552.8"/>
        <n v="1982"/>
        <n v="327.28"/>
        <n v="260.76"/>
        <n v="275.52"/>
        <n v="38.06"/>
        <n v="1475.88"/>
        <n v="746.76"/>
        <n v="423.64"/>
        <n v="1423.1"/>
        <n v="570.11"/>
        <n v="2593.8"/>
        <n v="197.88"/>
        <n v="1297.74"/>
        <n v="764.6"/>
        <n v="1035.09"/>
        <n v="781.05"/>
        <n v="354.96"/>
        <n v="373.92"/>
        <n v="1531.26"/>
        <n v="2035.53"/>
        <n v="114.8"/>
        <n v="1847.82"/>
        <n v="1084.16"/>
        <n v="2147.5"/>
        <n v="1400.4"/>
        <n v="326.08"/>
        <n v="1628.44"/>
        <n v="566.16"/>
        <n v="2774.5"/>
        <n v="634"/>
        <n v="1848"/>
        <n v="237.16"/>
        <n v="2558.21"/>
        <n v="332.76"/>
        <n v="656.61"/>
        <n v="627.37"/>
        <n v="3313.3"/>
        <n v="2536.72"/>
        <n v="1947.6"/>
        <n v="1978.08"/>
        <n v="163.35"/>
        <n v="1265.49"/>
        <n v="3183.29"/>
        <n v="585.48"/>
        <n v="785.28"/>
        <n v="2889.18"/>
        <n v="1928.32"/>
        <n v="2499.9"/>
        <n v="3378.6"/>
        <n v="770.4"/>
        <n v="900.2"/>
        <n v="3346.2"/>
        <n v="1267.2"/>
        <n v="2623.83"/>
        <n v="2949.54"/>
        <n v="1083.6"/>
        <n v="2118.99"/>
        <n v="864.16"/>
        <n v="734.5"/>
        <n v="460.02"/>
        <n v="39.93"/>
        <n v="714.56"/>
        <n v="2160.6"/>
        <n v="71.76"/>
        <n v="206.57"/>
        <n v="2892.61"/>
        <n v="2017.47"/>
        <n v="1133.32"/>
        <n v="171.42"/>
        <n v="1578.3"/>
        <n v="203.32"/>
        <n v="1503.18"/>
        <n v="1900.72"/>
        <n v="433.51"/>
        <n v="51.45"/>
        <n v="153.48"/>
        <n v="3296.11"/>
        <n v="602.52"/>
        <n v="2114.64"/>
        <n v="390.32"/>
        <n v="1583.4"/>
        <n v="3601"/>
        <n v="225.5"/>
        <n v="4440.84"/>
        <n v="370.92"/>
        <n v="1153.08"/>
        <n v="427.68"/>
        <n v="3301.82"/>
        <n v="3782.7"/>
        <n v="1139.76"/>
        <n v="415.2"/>
        <n v="1144.05"/>
        <n v="1480.08"/>
        <n v="628.56"/>
        <n v="1658.16"/>
        <n v="992.8"/>
        <n v="941.52"/>
        <n v="825.24"/>
        <n v="62.6"/>
        <n v="564.3"/>
        <n v="156.48"/>
        <n v="495.36"/>
        <n v="3122.15"/>
        <n v="54.72"/>
        <n v="1458"/>
        <n v="1265.4"/>
        <n v="460.98"/>
        <n v="820.16"/>
        <n v="1738.1"/>
        <n v="2321.18"/>
        <n v="348.2"/>
        <n v="2773.8"/>
        <n v="867.2"/>
        <n v="2492.7"/>
        <n v="959.65"/>
        <n v="2376.94"/>
        <n v="197.21"/>
        <n v="296.82"/>
        <n v="517.23"/>
        <n v="2137.52"/>
        <n v="1060.08"/>
        <n v="606.22"/>
        <n v="60.06"/>
        <n v="579.51"/>
        <n v="1838.5"/>
        <n v="2053.45"/>
        <n v="495.56"/>
        <n v="1361.92"/>
        <n v="531.3"/>
        <n v="602.08"/>
        <n v="1914.85"/>
        <n v="2016"/>
        <n v="1071.84"/>
        <n v="1610.23"/>
        <n v="775.72"/>
        <n v="309.15"/>
        <n v="366.6"/>
        <n v="2295.93"/>
        <n v="1600.64"/>
        <n v="2061.6"/>
        <n v="523.26"/>
        <n v="4181"/>
        <n v="3031"/>
        <n v="2997.45"/>
        <n v="1481.76"/>
        <n v="69.42"/>
        <n v="363.66"/>
        <n v="2576.56"/>
        <n v="2285.7"/>
        <n v="3898.8"/>
        <n v="3336.06"/>
        <n v="58.24"/>
        <n v="171.2"/>
        <n v="2222.88"/>
        <n v="2012.76"/>
        <n v="627.9"/>
        <n v="1909.68"/>
        <n v="2355.86"/>
        <n v="381.15"/>
        <n v="341"/>
        <n v="3590.4"/>
        <n v="1551.2"/>
        <n v="279.75"/>
        <n v="2560.5"/>
        <n v="1023.68"/>
        <n v="2950.23"/>
        <n v="1091.16"/>
        <n v="319.02"/>
        <n v="3490.2"/>
        <n v="1590.12"/>
        <n v="735.3"/>
        <n v="2984.76"/>
        <n v="2091.25"/>
        <n v="3044.36"/>
        <n v="2764.27"/>
        <n v="4260.44"/>
        <n v="842.01"/>
        <n v="2448.32"/>
        <n v="539.88"/>
        <n v="1539.56"/>
        <n v="3457.5"/>
        <n v="2083.84"/>
        <n v="676.26"/>
        <n v="601.5"/>
        <n v="130.69"/>
        <n v="670.2"/>
        <n v="3721.93"/>
        <n v="1338.96"/>
        <n v="417.92"/>
        <n v="17.04"/>
        <n v="224.61"/>
        <n v="421.04"/>
        <n v="1773.66"/>
        <n v="1487.04"/>
        <n v="3676.5"/>
        <n v="3811.2"/>
        <n v="3225.5"/>
        <n v="808.64"/>
        <n v="2283.04"/>
        <n v="1938.76"/>
        <n v="72.45"/>
        <n v="3594.92"/>
        <n v="1681.4"/>
        <n v="206.24"/>
        <n v="1471.8"/>
        <n v="1500.87"/>
        <n v="798.96"/>
        <n v="2076.9"/>
        <n v="1855.71"/>
        <n v="762.58"/>
        <n v="2252.16"/>
        <n v="2333.28"/>
        <n v="71.28"/>
        <n v="3418.45"/>
        <n v="2793.72"/>
        <n v="1129.55"/>
        <n v="670.67"/>
        <n v="479.52"/>
        <n v="3065.9"/>
        <n v="1008.84"/>
        <n v="3454.25"/>
        <n v="1717.91"/>
        <n v="110.22"/>
        <n v="1754.55"/>
        <n v="162.03"/>
        <n v="2596.08"/>
        <n v="243.18"/>
        <n v="730.48"/>
        <n v="1445.52"/>
        <n v="1711.68"/>
        <n v="608.94"/>
        <n v="1872.83"/>
        <n v="148.96"/>
        <n v="3566.22"/>
        <n v="861.76"/>
        <n v="601.23"/>
        <n v="2481.08"/>
        <n v="312.12"/>
        <n v="3694.74"/>
        <n v="319.69"/>
        <n v="464.86"/>
        <n v="1247.19"/>
        <n v="573.61"/>
        <n v="1853.57"/>
        <n v="1939.54"/>
        <n v="1821.12"/>
        <n v="56.66"/>
        <n v="3611.58"/>
        <n v="473.92"/>
        <n v="151.5"/>
        <n v="1249.6"/>
        <n v="1495.8"/>
        <n v="1440.33"/>
        <n v="1034.54"/>
        <n v="1253.7"/>
        <n v="453.53"/>
        <n v="388.31"/>
        <n v="2285.36"/>
        <n v="525.72"/>
        <n v="790.11"/>
        <n v="3675.36"/>
        <n v="359.38"/>
        <n v="892.64"/>
        <n v="107.36"/>
        <n v="502.08"/>
        <n v="2646.9"/>
        <n v="411.81"/>
        <n v="324.6"/>
        <n v="461.01"/>
        <n v="1514.24"/>
        <n v="2077.8"/>
        <n v="1121.19"/>
        <n v="2641.5"/>
        <n v="2130.48"/>
        <n v="740.3"/>
        <n v="23.13"/>
        <n v="500.3"/>
        <n v="146.88"/>
        <n v="495.42"/>
        <n v="355.96"/>
        <n v="3411.26"/>
        <n v="2018.64"/>
        <n v="185.4"/>
        <n v="450.34"/>
        <n v="816.09"/>
        <n v="709.28"/>
        <n v="2489.67"/>
        <n v="3983.52"/>
        <n v="1028.58"/>
        <n v="193.48"/>
        <n v="712.32"/>
        <n v="768.66"/>
        <n v="181.44"/>
        <n v="2043.34"/>
        <n v="251.1"/>
        <n v="658.6"/>
        <n v="438.45"/>
      </sharedItems>
    </cacheField>
    <cacheField name="Sales_Channel" numFmtId="0">
      <sharedItems count="3">
        <s v="Online"/>
        <s v="Retail"/>
        <s v="Hospital"/>
      </sharedItems>
    </cacheField>
    <cacheField name="Payment_Mode" numFmtId="0">
      <sharedItems count="3">
        <s v="Cash"/>
        <s v="Card"/>
        <s v="Upi"/>
      </sharedItems>
    </cacheField>
    <cacheField name="Doctor_Prescribed" numFmtId="0">
      <sharedItems count="2">
        <s v="Yes"/>
        <s v="No"/>
      </sharedItems>
    </cacheField>
    <cacheField name="Return_Flag" numFmtId="0">
      <sharedItems count="2">
        <s v="Y"/>
        <s v="N"/>
      </sharedItems>
    </cacheField>
    <cacheField name="Customer_Rating" numFmtId="0">
      <sharedItems containsSemiMixedTypes="0" containsString="0" containsNumber="1" containsInteger="1" minValue="1" maxValue="5" count="5">
        <n v="1"/>
        <n v="2"/>
        <n v="3"/>
        <n v="5"/>
        <n v="4"/>
      </sharedItems>
    </cacheField>
    <cacheField name="Remarks" numFmtId="0">
      <sharedItems count="3">
        <s v="Repeat Customer"/>
        <s v="First Visit"/>
        <s v="No Feedback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0"/>
    <x v="1"/>
    <x v="1"/>
    <x v="0"/>
    <x v="0"/>
    <x v="1"/>
    <x v="1"/>
    <x v="0"/>
  </r>
  <r>
    <x v="2"/>
    <x v="2"/>
    <x v="0"/>
    <x v="0"/>
    <x v="2"/>
    <x v="2"/>
    <x v="1"/>
    <x v="2"/>
    <x v="2"/>
    <x v="2"/>
    <x v="2"/>
    <x v="2"/>
    <x v="0"/>
    <x v="2"/>
    <x v="0"/>
    <x v="0"/>
    <x v="0"/>
    <x v="1"/>
    <x v="2"/>
    <x v="1"/>
  </r>
  <r>
    <x v="3"/>
    <x v="3"/>
    <x v="2"/>
    <x v="0"/>
    <x v="3"/>
    <x v="2"/>
    <x v="2"/>
    <x v="0"/>
    <x v="3"/>
    <x v="0"/>
    <x v="3"/>
    <x v="3"/>
    <x v="1"/>
    <x v="3"/>
    <x v="2"/>
    <x v="0"/>
    <x v="0"/>
    <x v="0"/>
    <x v="2"/>
    <x v="1"/>
  </r>
  <r>
    <x v="4"/>
    <x v="4"/>
    <x v="0"/>
    <x v="2"/>
    <x v="4"/>
    <x v="3"/>
    <x v="2"/>
    <x v="1"/>
    <x v="2"/>
    <x v="1"/>
    <x v="4"/>
    <x v="4"/>
    <x v="2"/>
    <x v="4"/>
    <x v="0"/>
    <x v="0"/>
    <x v="0"/>
    <x v="1"/>
    <x v="2"/>
    <x v="0"/>
  </r>
  <r>
    <x v="5"/>
    <x v="5"/>
    <x v="3"/>
    <x v="3"/>
    <x v="5"/>
    <x v="2"/>
    <x v="0"/>
    <x v="1"/>
    <x v="3"/>
    <x v="3"/>
    <x v="5"/>
    <x v="5"/>
    <x v="0"/>
    <x v="5"/>
    <x v="2"/>
    <x v="1"/>
    <x v="1"/>
    <x v="1"/>
    <x v="2"/>
    <x v="2"/>
  </r>
  <r>
    <x v="6"/>
    <x v="6"/>
    <x v="3"/>
    <x v="3"/>
    <x v="6"/>
    <x v="3"/>
    <x v="3"/>
    <x v="1"/>
    <x v="3"/>
    <x v="3"/>
    <x v="6"/>
    <x v="6"/>
    <x v="2"/>
    <x v="6"/>
    <x v="1"/>
    <x v="0"/>
    <x v="0"/>
    <x v="0"/>
    <x v="0"/>
    <x v="0"/>
  </r>
  <r>
    <x v="7"/>
    <x v="7"/>
    <x v="2"/>
    <x v="3"/>
    <x v="7"/>
    <x v="2"/>
    <x v="3"/>
    <x v="1"/>
    <x v="1"/>
    <x v="3"/>
    <x v="7"/>
    <x v="7"/>
    <x v="0"/>
    <x v="7"/>
    <x v="2"/>
    <x v="0"/>
    <x v="0"/>
    <x v="1"/>
    <x v="3"/>
    <x v="1"/>
  </r>
  <r>
    <x v="8"/>
    <x v="8"/>
    <x v="3"/>
    <x v="0"/>
    <x v="8"/>
    <x v="2"/>
    <x v="0"/>
    <x v="3"/>
    <x v="4"/>
    <x v="2"/>
    <x v="8"/>
    <x v="8"/>
    <x v="0"/>
    <x v="8"/>
    <x v="0"/>
    <x v="2"/>
    <x v="1"/>
    <x v="0"/>
    <x v="2"/>
    <x v="0"/>
  </r>
  <r>
    <x v="9"/>
    <x v="9"/>
    <x v="2"/>
    <x v="1"/>
    <x v="9"/>
    <x v="1"/>
    <x v="1"/>
    <x v="3"/>
    <x v="4"/>
    <x v="0"/>
    <x v="9"/>
    <x v="9"/>
    <x v="3"/>
    <x v="9"/>
    <x v="1"/>
    <x v="0"/>
    <x v="1"/>
    <x v="1"/>
    <x v="0"/>
    <x v="2"/>
  </r>
  <r>
    <x v="10"/>
    <x v="10"/>
    <x v="2"/>
    <x v="0"/>
    <x v="10"/>
    <x v="1"/>
    <x v="0"/>
    <x v="0"/>
    <x v="1"/>
    <x v="1"/>
    <x v="10"/>
    <x v="10"/>
    <x v="0"/>
    <x v="10"/>
    <x v="0"/>
    <x v="1"/>
    <x v="1"/>
    <x v="1"/>
    <x v="2"/>
    <x v="2"/>
  </r>
  <r>
    <x v="11"/>
    <x v="11"/>
    <x v="0"/>
    <x v="2"/>
    <x v="11"/>
    <x v="1"/>
    <x v="4"/>
    <x v="1"/>
    <x v="0"/>
    <x v="1"/>
    <x v="11"/>
    <x v="11"/>
    <x v="0"/>
    <x v="11"/>
    <x v="1"/>
    <x v="1"/>
    <x v="0"/>
    <x v="0"/>
    <x v="3"/>
    <x v="2"/>
  </r>
  <r>
    <x v="12"/>
    <x v="12"/>
    <x v="0"/>
    <x v="0"/>
    <x v="12"/>
    <x v="2"/>
    <x v="3"/>
    <x v="0"/>
    <x v="3"/>
    <x v="3"/>
    <x v="12"/>
    <x v="12"/>
    <x v="0"/>
    <x v="12"/>
    <x v="0"/>
    <x v="1"/>
    <x v="1"/>
    <x v="1"/>
    <x v="1"/>
    <x v="2"/>
  </r>
  <r>
    <x v="13"/>
    <x v="13"/>
    <x v="0"/>
    <x v="4"/>
    <x v="13"/>
    <x v="2"/>
    <x v="4"/>
    <x v="3"/>
    <x v="4"/>
    <x v="0"/>
    <x v="13"/>
    <x v="13"/>
    <x v="3"/>
    <x v="13"/>
    <x v="0"/>
    <x v="1"/>
    <x v="1"/>
    <x v="0"/>
    <x v="3"/>
    <x v="2"/>
  </r>
  <r>
    <x v="14"/>
    <x v="14"/>
    <x v="4"/>
    <x v="3"/>
    <x v="14"/>
    <x v="2"/>
    <x v="0"/>
    <x v="1"/>
    <x v="1"/>
    <x v="0"/>
    <x v="13"/>
    <x v="14"/>
    <x v="0"/>
    <x v="14"/>
    <x v="0"/>
    <x v="0"/>
    <x v="1"/>
    <x v="0"/>
    <x v="4"/>
    <x v="2"/>
  </r>
  <r>
    <x v="15"/>
    <x v="15"/>
    <x v="2"/>
    <x v="3"/>
    <x v="15"/>
    <x v="2"/>
    <x v="0"/>
    <x v="3"/>
    <x v="4"/>
    <x v="3"/>
    <x v="10"/>
    <x v="15"/>
    <x v="1"/>
    <x v="15"/>
    <x v="2"/>
    <x v="0"/>
    <x v="1"/>
    <x v="0"/>
    <x v="1"/>
    <x v="1"/>
  </r>
  <r>
    <x v="16"/>
    <x v="16"/>
    <x v="0"/>
    <x v="1"/>
    <x v="0"/>
    <x v="1"/>
    <x v="5"/>
    <x v="2"/>
    <x v="4"/>
    <x v="0"/>
    <x v="6"/>
    <x v="16"/>
    <x v="0"/>
    <x v="16"/>
    <x v="1"/>
    <x v="0"/>
    <x v="0"/>
    <x v="0"/>
    <x v="0"/>
    <x v="2"/>
  </r>
  <r>
    <x v="17"/>
    <x v="17"/>
    <x v="2"/>
    <x v="3"/>
    <x v="15"/>
    <x v="2"/>
    <x v="3"/>
    <x v="0"/>
    <x v="2"/>
    <x v="0"/>
    <x v="14"/>
    <x v="17"/>
    <x v="0"/>
    <x v="17"/>
    <x v="2"/>
    <x v="2"/>
    <x v="1"/>
    <x v="1"/>
    <x v="4"/>
    <x v="1"/>
  </r>
  <r>
    <x v="18"/>
    <x v="18"/>
    <x v="3"/>
    <x v="4"/>
    <x v="16"/>
    <x v="3"/>
    <x v="2"/>
    <x v="2"/>
    <x v="1"/>
    <x v="2"/>
    <x v="15"/>
    <x v="18"/>
    <x v="0"/>
    <x v="18"/>
    <x v="0"/>
    <x v="0"/>
    <x v="0"/>
    <x v="1"/>
    <x v="1"/>
    <x v="1"/>
  </r>
  <r>
    <x v="19"/>
    <x v="19"/>
    <x v="3"/>
    <x v="0"/>
    <x v="6"/>
    <x v="0"/>
    <x v="1"/>
    <x v="0"/>
    <x v="1"/>
    <x v="2"/>
    <x v="14"/>
    <x v="19"/>
    <x v="0"/>
    <x v="19"/>
    <x v="0"/>
    <x v="2"/>
    <x v="0"/>
    <x v="0"/>
    <x v="2"/>
    <x v="2"/>
  </r>
  <r>
    <x v="20"/>
    <x v="20"/>
    <x v="0"/>
    <x v="1"/>
    <x v="17"/>
    <x v="0"/>
    <x v="1"/>
    <x v="1"/>
    <x v="0"/>
    <x v="2"/>
    <x v="12"/>
    <x v="20"/>
    <x v="3"/>
    <x v="20"/>
    <x v="0"/>
    <x v="2"/>
    <x v="0"/>
    <x v="0"/>
    <x v="4"/>
    <x v="2"/>
  </r>
  <r>
    <x v="21"/>
    <x v="21"/>
    <x v="0"/>
    <x v="0"/>
    <x v="12"/>
    <x v="1"/>
    <x v="2"/>
    <x v="2"/>
    <x v="0"/>
    <x v="3"/>
    <x v="16"/>
    <x v="21"/>
    <x v="0"/>
    <x v="21"/>
    <x v="0"/>
    <x v="0"/>
    <x v="0"/>
    <x v="1"/>
    <x v="1"/>
    <x v="2"/>
  </r>
  <r>
    <x v="22"/>
    <x v="22"/>
    <x v="1"/>
    <x v="1"/>
    <x v="17"/>
    <x v="2"/>
    <x v="0"/>
    <x v="1"/>
    <x v="3"/>
    <x v="2"/>
    <x v="2"/>
    <x v="22"/>
    <x v="2"/>
    <x v="22"/>
    <x v="1"/>
    <x v="0"/>
    <x v="0"/>
    <x v="1"/>
    <x v="4"/>
    <x v="0"/>
  </r>
  <r>
    <x v="23"/>
    <x v="23"/>
    <x v="2"/>
    <x v="3"/>
    <x v="18"/>
    <x v="2"/>
    <x v="5"/>
    <x v="0"/>
    <x v="3"/>
    <x v="3"/>
    <x v="17"/>
    <x v="23"/>
    <x v="2"/>
    <x v="23"/>
    <x v="2"/>
    <x v="1"/>
    <x v="0"/>
    <x v="1"/>
    <x v="0"/>
    <x v="2"/>
  </r>
  <r>
    <x v="24"/>
    <x v="24"/>
    <x v="2"/>
    <x v="3"/>
    <x v="19"/>
    <x v="0"/>
    <x v="1"/>
    <x v="0"/>
    <x v="0"/>
    <x v="0"/>
    <x v="17"/>
    <x v="24"/>
    <x v="3"/>
    <x v="24"/>
    <x v="2"/>
    <x v="0"/>
    <x v="0"/>
    <x v="1"/>
    <x v="4"/>
    <x v="2"/>
  </r>
  <r>
    <x v="25"/>
    <x v="25"/>
    <x v="2"/>
    <x v="1"/>
    <x v="12"/>
    <x v="2"/>
    <x v="5"/>
    <x v="2"/>
    <x v="0"/>
    <x v="2"/>
    <x v="2"/>
    <x v="25"/>
    <x v="1"/>
    <x v="25"/>
    <x v="2"/>
    <x v="2"/>
    <x v="1"/>
    <x v="1"/>
    <x v="3"/>
    <x v="2"/>
  </r>
  <r>
    <x v="26"/>
    <x v="26"/>
    <x v="1"/>
    <x v="3"/>
    <x v="20"/>
    <x v="2"/>
    <x v="2"/>
    <x v="3"/>
    <x v="4"/>
    <x v="1"/>
    <x v="9"/>
    <x v="26"/>
    <x v="3"/>
    <x v="26"/>
    <x v="2"/>
    <x v="0"/>
    <x v="0"/>
    <x v="1"/>
    <x v="2"/>
    <x v="2"/>
  </r>
  <r>
    <x v="27"/>
    <x v="27"/>
    <x v="4"/>
    <x v="0"/>
    <x v="8"/>
    <x v="1"/>
    <x v="0"/>
    <x v="0"/>
    <x v="1"/>
    <x v="3"/>
    <x v="0"/>
    <x v="27"/>
    <x v="2"/>
    <x v="27"/>
    <x v="2"/>
    <x v="0"/>
    <x v="0"/>
    <x v="1"/>
    <x v="2"/>
    <x v="0"/>
  </r>
  <r>
    <x v="28"/>
    <x v="28"/>
    <x v="2"/>
    <x v="1"/>
    <x v="21"/>
    <x v="3"/>
    <x v="1"/>
    <x v="3"/>
    <x v="1"/>
    <x v="3"/>
    <x v="0"/>
    <x v="28"/>
    <x v="1"/>
    <x v="28"/>
    <x v="1"/>
    <x v="0"/>
    <x v="0"/>
    <x v="1"/>
    <x v="3"/>
    <x v="1"/>
  </r>
  <r>
    <x v="29"/>
    <x v="29"/>
    <x v="2"/>
    <x v="3"/>
    <x v="6"/>
    <x v="3"/>
    <x v="1"/>
    <x v="0"/>
    <x v="0"/>
    <x v="1"/>
    <x v="18"/>
    <x v="29"/>
    <x v="1"/>
    <x v="29"/>
    <x v="0"/>
    <x v="0"/>
    <x v="1"/>
    <x v="1"/>
    <x v="3"/>
    <x v="0"/>
  </r>
  <r>
    <x v="30"/>
    <x v="30"/>
    <x v="4"/>
    <x v="4"/>
    <x v="15"/>
    <x v="1"/>
    <x v="0"/>
    <x v="1"/>
    <x v="4"/>
    <x v="3"/>
    <x v="3"/>
    <x v="30"/>
    <x v="0"/>
    <x v="30"/>
    <x v="0"/>
    <x v="0"/>
    <x v="1"/>
    <x v="0"/>
    <x v="4"/>
    <x v="0"/>
  </r>
  <r>
    <x v="31"/>
    <x v="31"/>
    <x v="0"/>
    <x v="1"/>
    <x v="22"/>
    <x v="1"/>
    <x v="1"/>
    <x v="3"/>
    <x v="2"/>
    <x v="3"/>
    <x v="16"/>
    <x v="31"/>
    <x v="2"/>
    <x v="31"/>
    <x v="0"/>
    <x v="0"/>
    <x v="0"/>
    <x v="0"/>
    <x v="4"/>
    <x v="1"/>
  </r>
  <r>
    <x v="32"/>
    <x v="32"/>
    <x v="4"/>
    <x v="0"/>
    <x v="6"/>
    <x v="0"/>
    <x v="4"/>
    <x v="1"/>
    <x v="3"/>
    <x v="1"/>
    <x v="5"/>
    <x v="32"/>
    <x v="0"/>
    <x v="32"/>
    <x v="0"/>
    <x v="1"/>
    <x v="1"/>
    <x v="0"/>
    <x v="4"/>
    <x v="0"/>
  </r>
  <r>
    <x v="33"/>
    <x v="33"/>
    <x v="2"/>
    <x v="0"/>
    <x v="23"/>
    <x v="2"/>
    <x v="1"/>
    <x v="1"/>
    <x v="1"/>
    <x v="3"/>
    <x v="13"/>
    <x v="33"/>
    <x v="1"/>
    <x v="33"/>
    <x v="0"/>
    <x v="0"/>
    <x v="1"/>
    <x v="1"/>
    <x v="0"/>
    <x v="1"/>
  </r>
  <r>
    <x v="34"/>
    <x v="34"/>
    <x v="2"/>
    <x v="4"/>
    <x v="23"/>
    <x v="1"/>
    <x v="2"/>
    <x v="1"/>
    <x v="2"/>
    <x v="1"/>
    <x v="19"/>
    <x v="34"/>
    <x v="1"/>
    <x v="34"/>
    <x v="0"/>
    <x v="0"/>
    <x v="1"/>
    <x v="1"/>
    <x v="4"/>
    <x v="2"/>
  </r>
  <r>
    <x v="35"/>
    <x v="35"/>
    <x v="2"/>
    <x v="4"/>
    <x v="16"/>
    <x v="1"/>
    <x v="3"/>
    <x v="1"/>
    <x v="1"/>
    <x v="0"/>
    <x v="20"/>
    <x v="35"/>
    <x v="2"/>
    <x v="35"/>
    <x v="0"/>
    <x v="1"/>
    <x v="0"/>
    <x v="1"/>
    <x v="4"/>
    <x v="1"/>
  </r>
  <r>
    <x v="36"/>
    <x v="36"/>
    <x v="4"/>
    <x v="2"/>
    <x v="12"/>
    <x v="2"/>
    <x v="1"/>
    <x v="3"/>
    <x v="3"/>
    <x v="0"/>
    <x v="21"/>
    <x v="36"/>
    <x v="0"/>
    <x v="36"/>
    <x v="0"/>
    <x v="2"/>
    <x v="1"/>
    <x v="1"/>
    <x v="0"/>
    <x v="2"/>
  </r>
  <r>
    <x v="37"/>
    <x v="37"/>
    <x v="2"/>
    <x v="3"/>
    <x v="1"/>
    <x v="1"/>
    <x v="0"/>
    <x v="0"/>
    <x v="0"/>
    <x v="3"/>
    <x v="17"/>
    <x v="37"/>
    <x v="2"/>
    <x v="37"/>
    <x v="0"/>
    <x v="2"/>
    <x v="0"/>
    <x v="0"/>
    <x v="3"/>
    <x v="2"/>
  </r>
  <r>
    <x v="38"/>
    <x v="38"/>
    <x v="3"/>
    <x v="0"/>
    <x v="24"/>
    <x v="2"/>
    <x v="1"/>
    <x v="1"/>
    <x v="1"/>
    <x v="3"/>
    <x v="22"/>
    <x v="38"/>
    <x v="0"/>
    <x v="38"/>
    <x v="1"/>
    <x v="0"/>
    <x v="0"/>
    <x v="1"/>
    <x v="3"/>
    <x v="2"/>
  </r>
  <r>
    <x v="39"/>
    <x v="39"/>
    <x v="2"/>
    <x v="0"/>
    <x v="13"/>
    <x v="1"/>
    <x v="4"/>
    <x v="2"/>
    <x v="4"/>
    <x v="2"/>
    <x v="23"/>
    <x v="39"/>
    <x v="1"/>
    <x v="39"/>
    <x v="0"/>
    <x v="0"/>
    <x v="0"/>
    <x v="1"/>
    <x v="4"/>
    <x v="0"/>
  </r>
  <r>
    <x v="40"/>
    <x v="40"/>
    <x v="2"/>
    <x v="0"/>
    <x v="25"/>
    <x v="3"/>
    <x v="1"/>
    <x v="1"/>
    <x v="2"/>
    <x v="3"/>
    <x v="24"/>
    <x v="40"/>
    <x v="0"/>
    <x v="40"/>
    <x v="2"/>
    <x v="2"/>
    <x v="1"/>
    <x v="0"/>
    <x v="2"/>
    <x v="2"/>
  </r>
  <r>
    <x v="41"/>
    <x v="41"/>
    <x v="2"/>
    <x v="4"/>
    <x v="26"/>
    <x v="1"/>
    <x v="2"/>
    <x v="3"/>
    <x v="3"/>
    <x v="0"/>
    <x v="19"/>
    <x v="41"/>
    <x v="2"/>
    <x v="41"/>
    <x v="0"/>
    <x v="1"/>
    <x v="0"/>
    <x v="1"/>
    <x v="2"/>
    <x v="1"/>
  </r>
  <r>
    <x v="42"/>
    <x v="42"/>
    <x v="0"/>
    <x v="2"/>
    <x v="22"/>
    <x v="2"/>
    <x v="3"/>
    <x v="0"/>
    <x v="4"/>
    <x v="1"/>
    <x v="25"/>
    <x v="42"/>
    <x v="0"/>
    <x v="42"/>
    <x v="1"/>
    <x v="0"/>
    <x v="1"/>
    <x v="1"/>
    <x v="0"/>
    <x v="2"/>
  </r>
  <r>
    <x v="43"/>
    <x v="43"/>
    <x v="2"/>
    <x v="4"/>
    <x v="4"/>
    <x v="1"/>
    <x v="1"/>
    <x v="1"/>
    <x v="3"/>
    <x v="3"/>
    <x v="16"/>
    <x v="43"/>
    <x v="1"/>
    <x v="43"/>
    <x v="2"/>
    <x v="2"/>
    <x v="1"/>
    <x v="1"/>
    <x v="2"/>
    <x v="1"/>
  </r>
  <r>
    <x v="44"/>
    <x v="44"/>
    <x v="0"/>
    <x v="0"/>
    <x v="27"/>
    <x v="0"/>
    <x v="5"/>
    <x v="1"/>
    <x v="0"/>
    <x v="1"/>
    <x v="12"/>
    <x v="44"/>
    <x v="3"/>
    <x v="44"/>
    <x v="2"/>
    <x v="0"/>
    <x v="1"/>
    <x v="1"/>
    <x v="1"/>
    <x v="1"/>
  </r>
  <r>
    <x v="45"/>
    <x v="45"/>
    <x v="3"/>
    <x v="0"/>
    <x v="28"/>
    <x v="1"/>
    <x v="0"/>
    <x v="2"/>
    <x v="4"/>
    <x v="0"/>
    <x v="16"/>
    <x v="45"/>
    <x v="2"/>
    <x v="45"/>
    <x v="0"/>
    <x v="0"/>
    <x v="0"/>
    <x v="1"/>
    <x v="2"/>
    <x v="2"/>
  </r>
  <r>
    <x v="46"/>
    <x v="46"/>
    <x v="4"/>
    <x v="2"/>
    <x v="18"/>
    <x v="2"/>
    <x v="1"/>
    <x v="3"/>
    <x v="4"/>
    <x v="0"/>
    <x v="26"/>
    <x v="46"/>
    <x v="0"/>
    <x v="46"/>
    <x v="0"/>
    <x v="1"/>
    <x v="1"/>
    <x v="1"/>
    <x v="2"/>
    <x v="2"/>
  </r>
  <r>
    <x v="47"/>
    <x v="47"/>
    <x v="0"/>
    <x v="1"/>
    <x v="10"/>
    <x v="2"/>
    <x v="3"/>
    <x v="1"/>
    <x v="2"/>
    <x v="1"/>
    <x v="27"/>
    <x v="47"/>
    <x v="1"/>
    <x v="47"/>
    <x v="0"/>
    <x v="2"/>
    <x v="1"/>
    <x v="1"/>
    <x v="3"/>
    <x v="2"/>
  </r>
  <r>
    <x v="48"/>
    <x v="48"/>
    <x v="0"/>
    <x v="0"/>
    <x v="10"/>
    <x v="1"/>
    <x v="2"/>
    <x v="0"/>
    <x v="3"/>
    <x v="0"/>
    <x v="28"/>
    <x v="48"/>
    <x v="0"/>
    <x v="48"/>
    <x v="0"/>
    <x v="1"/>
    <x v="0"/>
    <x v="1"/>
    <x v="4"/>
    <x v="2"/>
  </r>
  <r>
    <x v="49"/>
    <x v="49"/>
    <x v="0"/>
    <x v="3"/>
    <x v="8"/>
    <x v="3"/>
    <x v="1"/>
    <x v="3"/>
    <x v="4"/>
    <x v="1"/>
    <x v="10"/>
    <x v="49"/>
    <x v="0"/>
    <x v="49"/>
    <x v="1"/>
    <x v="0"/>
    <x v="0"/>
    <x v="1"/>
    <x v="1"/>
    <x v="0"/>
  </r>
  <r>
    <x v="50"/>
    <x v="50"/>
    <x v="2"/>
    <x v="3"/>
    <x v="3"/>
    <x v="2"/>
    <x v="0"/>
    <x v="2"/>
    <x v="2"/>
    <x v="2"/>
    <x v="1"/>
    <x v="50"/>
    <x v="3"/>
    <x v="50"/>
    <x v="0"/>
    <x v="2"/>
    <x v="1"/>
    <x v="1"/>
    <x v="0"/>
    <x v="2"/>
  </r>
  <r>
    <x v="51"/>
    <x v="51"/>
    <x v="0"/>
    <x v="2"/>
    <x v="21"/>
    <x v="0"/>
    <x v="5"/>
    <x v="1"/>
    <x v="0"/>
    <x v="0"/>
    <x v="15"/>
    <x v="51"/>
    <x v="3"/>
    <x v="51"/>
    <x v="0"/>
    <x v="1"/>
    <x v="1"/>
    <x v="1"/>
    <x v="3"/>
    <x v="2"/>
  </r>
  <r>
    <x v="52"/>
    <x v="52"/>
    <x v="2"/>
    <x v="1"/>
    <x v="29"/>
    <x v="3"/>
    <x v="4"/>
    <x v="1"/>
    <x v="1"/>
    <x v="2"/>
    <x v="29"/>
    <x v="52"/>
    <x v="0"/>
    <x v="52"/>
    <x v="1"/>
    <x v="2"/>
    <x v="1"/>
    <x v="1"/>
    <x v="4"/>
    <x v="1"/>
  </r>
  <r>
    <x v="53"/>
    <x v="53"/>
    <x v="4"/>
    <x v="3"/>
    <x v="10"/>
    <x v="1"/>
    <x v="5"/>
    <x v="3"/>
    <x v="4"/>
    <x v="2"/>
    <x v="10"/>
    <x v="53"/>
    <x v="1"/>
    <x v="53"/>
    <x v="0"/>
    <x v="0"/>
    <x v="1"/>
    <x v="0"/>
    <x v="1"/>
    <x v="1"/>
  </r>
  <r>
    <x v="54"/>
    <x v="54"/>
    <x v="2"/>
    <x v="4"/>
    <x v="30"/>
    <x v="2"/>
    <x v="5"/>
    <x v="0"/>
    <x v="3"/>
    <x v="1"/>
    <x v="30"/>
    <x v="54"/>
    <x v="1"/>
    <x v="54"/>
    <x v="0"/>
    <x v="0"/>
    <x v="1"/>
    <x v="1"/>
    <x v="1"/>
    <x v="1"/>
  </r>
  <r>
    <x v="55"/>
    <x v="55"/>
    <x v="0"/>
    <x v="1"/>
    <x v="23"/>
    <x v="2"/>
    <x v="0"/>
    <x v="1"/>
    <x v="1"/>
    <x v="0"/>
    <x v="31"/>
    <x v="55"/>
    <x v="1"/>
    <x v="55"/>
    <x v="2"/>
    <x v="2"/>
    <x v="1"/>
    <x v="1"/>
    <x v="4"/>
    <x v="0"/>
  </r>
  <r>
    <x v="56"/>
    <x v="56"/>
    <x v="1"/>
    <x v="3"/>
    <x v="2"/>
    <x v="1"/>
    <x v="3"/>
    <x v="1"/>
    <x v="0"/>
    <x v="0"/>
    <x v="5"/>
    <x v="56"/>
    <x v="1"/>
    <x v="56"/>
    <x v="2"/>
    <x v="2"/>
    <x v="0"/>
    <x v="1"/>
    <x v="4"/>
    <x v="1"/>
  </r>
  <r>
    <x v="57"/>
    <x v="57"/>
    <x v="1"/>
    <x v="0"/>
    <x v="31"/>
    <x v="1"/>
    <x v="4"/>
    <x v="1"/>
    <x v="1"/>
    <x v="2"/>
    <x v="32"/>
    <x v="57"/>
    <x v="0"/>
    <x v="57"/>
    <x v="0"/>
    <x v="0"/>
    <x v="0"/>
    <x v="0"/>
    <x v="3"/>
    <x v="0"/>
  </r>
  <r>
    <x v="58"/>
    <x v="58"/>
    <x v="4"/>
    <x v="3"/>
    <x v="5"/>
    <x v="2"/>
    <x v="5"/>
    <x v="2"/>
    <x v="1"/>
    <x v="3"/>
    <x v="33"/>
    <x v="58"/>
    <x v="2"/>
    <x v="58"/>
    <x v="0"/>
    <x v="0"/>
    <x v="1"/>
    <x v="1"/>
    <x v="3"/>
    <x v="1"/>
  </r>
  <r>
    <x v="59"/>
    <x v="59"/>
    <x v="2"/>
    <x v="3"/>
    <x v="11"/>
    <x v="2"/>
    <x v="3"/>
    <x v="3"/>
    <x v="4"/>
    <x v="1"/>
    <x v="29"/>
    <x v="59"/>
    <x v="2"/>
    <x v="59"/>
    <x v="0"/>
    <x v="0"/>
    <x v="0"/>
    <x v="1"/>
    <x v="3"/>
    <x v="2"/>
  </r>
  <r>
    <x v="60"/>
    <x v="60"/>
    <x v="0"/>
    <x v="3"/>
    <x v="12"/>
    <x v="3"/>
    <x v="3"/>
    <x v="3"/>
    <x v="3"/>
    <x v="3"/>
    <x v="4"/>
    <x v="60"/>
    <x v="0"/>
    <x v="60"/>
    <x v="1"/>
    <x v="2"/>
    <x v="1"/>
    <x v="1"/>
    <x v="0"/>
    <x v="2"/>
  </r>
  <r>
    <x v="61"/>
    <x v="61"/>
    <x v="2"/>
    <x v="0"/>
    <x v="28"/>
    <x v="2"/>
    <x v="4"/>
    <x v="0"/>
    <x v="3"/>
    <x v="0"/>
    <x v="2"/>
    <x v="61"/>
    <x v="0"/>
    <x v="61"/>
    <x v="2"/>
    <x v="2"/>
    <x v="0"/>
    <x v="1"/>
    <x v="1"/>
    <x v="0"/>
  </r>
  <r>
    <x v="62"/>
    <x v="62"/>
    <x v="4"/>
    <x v="1"/>
    <x v="7"/>
    <x v="1"/>
    <x v="0"/>
    <x v="0"/>
    <x v="4"/>
    <x v="3"/>
    <x v="14"/>
    <x v="62"/>
    <x v="1"/>
    <x v="62"/>
    <x v="1"/>
    <x v="1"/>
    <x v="1"/>
    <x v="1"/>
    <x v="2"/>
    <x v="2"/>
  </r>
  <r>
    <x v="63"/>
    <x v="63"/>
    <x v="0"/>
    <x v="0"/>
    <x v="19"/>
    <x v="0"/>
    <x v="2"/>
    <x v="1"/>
    <x v="0"/>
    <x v="0"/>
    <x v="1"/>
    <x v="63"/>
    <x v="0"/>
    <x v="63"/>
    <x v="2"/>
    <x v="0"/>
    <x v="0"/>
    <x v="1"/>
    <x v="2"/>
    <x v="0"/>
  </r>
  <r>
    <x v="64"/>
    <x v="64"/>
    <x v="2"/>
    <x v="4"/>
    <x v="32"/>
    <x v="1"/>
    <x v="4"/>
    <x v="1"/>
    <x v="3"/>
    <x v="2"/>
    <x v="34"/>
    <x v="64"/>
    <x v="1"/>
    <x v="64"/>
    <x v="2"/>
    <x v="0"/>
    <x v="0"/>
    <x v="1"/>
    <x v="4"/>
    <x v="2"/>
  </r>
  <r>
    <x v="65"/>
    <x v="65"/>
    <x v="2"/>
    <x v="3"/>
    <x v="33"/>
    <x v="1"/>
    <x v="1"/>
    <x v="0"/>
    <x v="0"/>
    <x v="2"/>
    <x v="0"/>
    <x v="65"/>
    <x v="2"/>
    <x v="65"/>
    <x v="0"/>
    <x v="0"/>
    <x v="0"/>
    <x v="1"/>
    <x v="0"/>
    <x v="1"/>
  </r>
  <r>
    <x v="66"/>
    <x v="19"/>
    <x v="0"/>
    <x v="2"/>
    <x v="34"/>
    <x v="3"/>
    <x v="4"/>
    <x v="0"/>
    <x v="0"/>
    <x v="1"/>
    <x v="4"/>
    <x v="66"/>
    <x v="3"/>
    <x v="66"/>
    <x v="2"/>
    <x v="1"/>
    <x v="0"/>
    <x v="1"/>
    <x v="2"/>
    <x v="1"/>
  </r>
  <r>
    <x v="67"/>
    <x v="66"/>
    <x v="4"/>
    <x v="0"/>
    <x v="17"/>
    <x v="1"/>
    <x v="2"/>
    <x v="3"/>
    <x v="2"/>
    <x v="2"/>
    <x v="20"/>
    <x v="67"/>
    <x v="0"/>
    <x v="67"/>
    <x v="2"/>
    <x v="0"/>
    <x v="1"/>
    <x v="1"/>
    <x v="4"/>
    <x v="1"/>
  </r>
  <r>
    <x v="68"/>
    <x v="67"/>
    <x v="4"/>
    <x v="3"/>
    <x v="30"/>
    <x v="0"/>
    <x v="5"/>
    <x v="0"/>
    <x v="1"/>
    <x v="0"/>
    <x v="14"/>
    <x v="68"/>
    <x v="0"/>
    <x v="68"/>
    <x v="2"/>
    <x v="1"/>
    <x v="0"/>
    <x v="1"/>
    <x v="4"/>
    <x v="1"/>
  </r>
  <r>
    <x v="69"/>
    <x v="60"/>
    <x v="4"/>
    <x v="0"/>
    <x v="16"/>
    <x v="2"/>
    <x v="5"/>
    <x v="2"/>
    <x v="1"/>
    <x v="0"/>
    <x v="35"/>
    <x v="69"/>
    <x v="0"/>
    <x v="69"/>
    <x v="1"/>
    <x v="0"/>
    <x v="1"/>
    <x v="1"/>
    <x v="4"/>
    <x v="2"/>
  </r>
  <r>
    <x v="70"/>
    <x v="57"/>
    <x v="0"/>
    <x v="0"/>
    <x v="17"/>
    <x v="2"/>
    <x v="2"/>
    <x v="1"/>
    <x v="1"/>
    <x v="3"/>
    <x v="5"/>
    <x v="70"/>
    <x v="3"/>
    <x v="70"/>
    <x v="1"/>
    <x v="0"/>
    <x v="1"/>
    <x v="0"/>
    <x v="2"/>
    <x v="2"/>
  </r>
  <r>
    <x v="71"/>
    <x v="68"/>
    <x v="3"/>
    <x v="1"/>
    <x v="35"/>
    <x v="0"/>
    <x v="5"/>
    <x v="3"/>
    <x v="3"/>
    <x v="1"/>
    <x v="36"/>
    <x v="71"/>
    <x v="1"/>
    <x v="71"/>
    <x v="0"/>
    <x v="1"/>
    <x v="0"/>
    <x v="0"/>
    <x v="2"/>
    <x v="0"/>
  </r>
  <r>
    <x v="72"/>
    <x v="69"/>
    <x v="2"/>
    <x v="1"/>
    <x v="36"/>
    <x v="2"/>
    <x v="3"/>
    <x v="0"/>
    <x v="2"/>
    <x v="1"/>
    <x v="3"/>
    <x v="72"/>
    <x v="2"/>
    <x v="72"/>
    <x v="0"/>
    <x v="2"/>
    <x v="1"/>
    <x v="0"/>
    <x v="3"/>
    <x v="1"/>
  </r>
  <r>
    <x v="73"/>
    <x v="70"/>
    <x v="0"/>
    <x v="0"/>
    <x v="1"/>
    <x v="1"/>
    <x v="5"/>
    <x v="2"/>
    <x v="0"/>
    <x v="2"/>
    <x v="18"/>
    <x v="73"/>
    <x v="0"/>
    <x v="73"/>
    <x v="1"/>
    <x v="0"/>
    <x v="0"/>
    <x v="1"/>
    <x v="0"/>
    <x v="2"/>
  </r>
  <r>
    <x v="74"/>
    <x v="71"/>
    <x v="2"/>
    <x v="2"/>
    <x v="37"/>
    <x v="1"/>
    <x v="5"/>
    <x v="3"/>
    <x v="2"/>
    <x v="1"/>
    <x v="14"/>
    <x v="74"/>
    <x v="0"/>
    <x v="74"/>
    <x v="2"/>
    <x v="0"/>
    <x v="0"/>
    <x v="0"/>
    <x v="4"/>
    <x v="2"/>
  </r>
  <r>
    <x v="75"/>
    <x v="72"/>
    <x v="0"/>
    <x v="0"/>
    <x v="31"/>
    <x v="3"/>
    <x v="4"/>
    <x v="1"/>
    <x v="4"/>
    <x v="2"/>
    <x v="7"/>
    <x v="75"/>
    <x v="2"/>
    <x v="75"/>
    <x v="2"/>
    <x v="2"/>
    <x v="1"/>
    <x v="1"/>
    <x v="3"/>
    <x v="1"/>
  </r>
  <r>
    <x v="76"/>
    <x v="73"/>
    <x v="1"/>
    <x v="1"/>
    <x v="29"/>
    <x v="2"/>
    <x v="2"/>
    <x v="1"/>
    <x v="2"/>
    <x v="1"/>
    <x v="37"/>
    <x v="76"/>
    <x v="2"/>
    <x v="76"/>
    <x v="0"/>
    <x v="2"/>
    <x v="1"/>
    <x v="1"/>
    <x v="4"/>
    <x v="2"/>
  </r>
  <r>
    <x v="77"/>
    <x v="74"/>
    <x v="4"/>
    <x v="2"/>
    <x v="38"/>
    <x v="0"/>
    <x v="1"/>
    <x v="0"/>
    <x v="1"/>
    <x v="0"/>
    <x v="20"/>
    <x v="77"/>
    <x v="0"/>
    <x v="77"/>
    <x v="0"/>
    <x v="0"/>
    <x v="0"/>
    <x v="0"/>
    <x v="3"/>
    <x v="2"/>
  </r>
  <r>
    <x v="78"/>
    <x v="57"/>
    <x v="1"/>
    <x v="1"/>
    <x v="12"/>
    <x v="3"/>
    <x v="5"/>
    <x v="3"/>
    <x v="3"/>
    <x v="3"/>
    <x v="25"/>
    <x v="78"/>
    <x v="3"/>
    <x v="78"/>
    <x v="2"/>
    <x v="2"/>
    <x v="0"/>
    <x v="1"/>
    <x v="3"/>
    <x v="0"/>
  </r>
  <r>
    <x v="79"/>
    <x v="75"/>
    <x v="0"/>
    <x v="4"/>
    <x v="33"/>
    <x v="2"/>
    <x v="1"/>
    <x v="1"/>
    <x v="3"/>
    <x v="0"/>
    <x v="15"/>
    <x v="79"/>
    <x v="2"/>
    <x v="79"/>
    <x v="0"/>
    <x v="0"/>
    <x v="0"/>
    <x v="0"/>
    <x v="1"/>
    <x v="1"/>
  </r>
  <r>
    <x v="80"/>
    <x v="76"/>
    <x v="2"/>
    <x v="2"/>
    <x v="12"/>
    <x v="0"/>
    <x v="5"/>
    <x v="0"/>
    <x v="0"/>
    <x v="3"/>
    <x v="11"/>
    <x v="80"/>
    <x v="0"/>
    <x v="80"/>
    <x v="0"/>
    <x v="1"/>
    <x v="1"/>
    <x v="1"/>
    <x v="4"/>
    <x v="1"/>
  </r>
  <r>
    <x v="81"/>
    <x v="77"/>
    <x v="3"/>
    <x v="2"/>
    <x v="39"/>
    <x v="0"/>
    <x v="3"/>
    <x v="1"/>
    <x v="4"/>
    <x v="0"/>
    <x v="38"/>
    <x v="81"/>
    <x v="0"/>
    <x v="81"/>
    <x v="0"/>
    <x v="0"/>
    <x v="0"/>
    <x v="1"/>
    <x v="3"/>
    <x v="2"/>
  </r>
  <r>
    <x v="82"/>
    <x v="10"/>
    <x v="1"/>
    <x v="4"/>
    <x v="23"/>
    <x v="0"/>
    <x v="0"/>
    <x v="1"/>
    <x v="4"/>
    <x v="2"/>
    <x v="37"/>
    <x v="82"/>
    <x v="0"/>
    <x v="82"/>
    <x v="0"/>
    <x v="2"/>
    <x v="0"/>
    <x v="0"/>
    <x v="4"/>
    <x v="2"/>
  </r>
  <r>
    <x v="83"/>
    <x v="78"/>
    <x v="2"/>
    <x v="2"/>
    <x v="36"/>
    <x v="1"/>
    <x v="1"/>
    <x v="2"/>
    <x v="3"/>
    <x v="0"/>
    <x v="23"/>
    <x v="83"/>
    <x v="1"/>
    <x v="83"/>
    <x v="1"/>
    <x v="1"/>
    <x v="1"/>
    <x v="1"/>
    <x v="4"/>
    <x v="0"/>
  </r>
  <r>
    <x v="84"/>
    <x v="79"/>
    <x v="1"/>
    <x v="3"/>
    <x v="38"/>
    <x v="0"/>
    <x v="5"/>
    <x v="3"/>
    <x v="4"/>
    <x v="3"/>
    <x v="18"/>
    <x v="84"/>
    <x v="0"/>
    <x v="84"/>
    <x v="2"/>
    <x v="0"/>
    <x v="1"/>
    <x v="1"/>
    <x v="4"/>
    <x v="2"/>
  </r>
  <r>
    <x v="85"/>
    <x v="80"/>
    <x v="0"/>
    <x v="4"/>
    <x v="1"/>
    <x v="0"/>
    <x v="0"/>
    <x v="1"/>
    <x v="1"/>
    <x v="2"/>
    <x v="20"/>
    <x v="85"/>
    <x v="0"/>
    <x v="85"/>
    <x v="1"/>
    <x v="0"/>
    <x v="1"/>
    <x v="1"/>
    <x v="0"/>
    <x v="2"/>
  </r>
  <r>
    <x v="86"/>
    <x v="81"/>
    <x v="0"/>
    <x v="2"/>
    <x v="33"/>
    <x v="0"/>
    <x v="0"/>
    <x v="1"/>
    <x v="2"/>
    <x v="0"/>
    <x v="39"/>
    <x v="86"/>
    <x v="3"/>
    <x v="86"/>
    <x v="2"/>
    <x v="1"/>
    <x v="1"/>
    <x v="0"/>
    <x v="1"/>
    <x v="1"/>
  </r>
  <r>
    <x v="87"/>
    <x v="82"/>
    <x v="2"/>
    <x v="1"/>
    <x v="17"/>
    <x v="3"/>
    <x v="5"/>
    <x v="0"/>
    <x v="1"/>
    <x v="3"/>
    <x v="15"/>
    <x v="87"/>
    <x v="0"/>
    <x v="87"/>
    <x v="0"/>
    <x v="2"/>
    <x v="0"/>
    <x v="0"/>
    <x v="4"/>
    <x v="2"/>
  </r>
  <r>
    <x v="88"/>
    <x v="83"/>
    <x v="4"/>
    <x v="0"/>
    <x v="40"/>
    <x v="0"/>
    <x v="3"/>
    <x v="1"/>
    <x v="3"/>
    <x v="0"/>
    <x v="40"/>
    <x v="88"/>
    <x v="0"/>
    <x v="88"/>
    <x v="0"/>
    <x v="2"/>
    <x v="0"/>
    <x v="0"/>
    <x v="0"/>
    <x v="2"/>
  </r>
  <r>
    <x v="89"/>
    <x v="84"/>
    <x v="1"/>
    <x v="1"/>
    <x v="2"/>
    <x v="2"/>
    <x v="3"/>
    <x v="1"/>
    <x v="4"/>
    <x v="3"/>
    <x v="41"/>
    <x v="89"/>
    <x v="3"/>
    <x v="89"/>
    <x v="0"/>
    <x v="1"/>
    <x v="0"/>
    <x v="1"/>
    <x v="0"/>
    <x v="1"/>
  </r>
  <r>
    <x v="90"/>
    <x v="85"/>
    <x v="1"/>
    <x v="0"/>
    <x v="18"/>
    <x v="2"/>
    <x v="0"/>
    <x v="3"/>
    <x v="1"/>
    <x v="1"/>
    <x v="9"/>
    <x v="90"/>
    <x v="3"/>
    <x v="90"/>
    <x v="0"/>
    <x v="0"/>
    <x v="0"/>
    <x v="1"/>
    <x v="3"/>
    <x v="2"/>
  </r>
  <r>
    <x v="91"/>
    <x v="86"/>
    <x v="0"/>
    <x v="2"/>
    <x v="3"/>
    <x v="0"/>
    <x v="5"/>
    <x v="1"/>
    <x v="1"/>
    <x v="2"/>
    <x v="10"/>
    <x v="91"/>
    <x v="0"/>
    <x v="91"/>
    <x v="1"/>
    <x v="2"/>
    <x v="0"/>
    <x v="1"/>
    <x v="3"/>
    <x v="0"/>
  </r>
  <r>
    <x v="92"/>
    <x v="87"/>
    <x v="3"/>
    <x v="0"/>
    <x v="4"/>
    <x v="3"/>
    <x v="4"/>
    <x v="0"/>
    <x v="2"/>
    <x v="0"/>
    <x v="40"/>
    <x v="92"/>
    <x v="3"/>
    <x v="92"/>
    <x v="1"/>
    <x v="0"/>
    <x v="1"/>
    <x v="1"/>
    <x v="2"/>
    <x v="2"/>
  </r>
  <r>
    <x v="93"/>
    <x v="88"/>
    <x v="3"/>
    <x v="3"/>
    <x v="36"/>
    <x v="0"/>
    <x v="4"/>
    <x v="0"/>
    <x v="0"/>
    <x v="1"/>
    <x v="38"/>
    <x v="93"/>
    <x v="0"/>
    <x v="93"/>
    <x v="0"/>
    <x v="2"/>
    <x v="1"/>
    <x v="1"/>
    <x v="4"/>
    <x v="0"/>
  </r>
  <r>
    <x v="94"/>
    <x v="38"/>
    <x v="2"/>
    <x v="3"/>
    <x v="4"/>
    <x v="1"/>
    <x v="0"/>
    <x v="3"/>
    <x v="4"/>
    <x v="3"/>
    <x v="9"/>
    <x v="94"/>
    <x v="2"/>
    <x v="94"/>
    <x v="0"/>
    <x v="2"/>
    <x v="1"/>
    <x v="0"/>
    <x v="3"/>
    <x v="0"/>
  </r>
  <r>
    <x v="95"/>
    <x v="81"/>
    <x v="2"/>
    <x v="3"/>
    <x v="41"/>
    <x v="1"/>
    <x v="1"/>
    <x v="1"/>
    <x v="1"/>
    <x v="3"/>
    <x v="27"/>
    <x v="95"/>
    <x v="1"/>
    <x v="95"/>
    <x v="0"/>
    <x v="1"/>
    <x v="1"/>
    <x v="1"/>
    <x v="1"/>
    <x v="1"/>
  </r>
  <r>
    <x v="96"/>
    <x v="89"/>
    <x v="0"/>
    <x v="4"/>
    <x v="42"/>
    <x v="1"/>
    <x v="5"/>
    <x v="1"/>
    <x v="4"/>
    <x v="2"/>
    <x v="20"/>
    <x v="96"/>
    <x v="3"/>
    <x v="96"/>
    <x v="0"/>
    <x v="1"/>
    <x v="1"/>
    <x v="0"/>
    <x v="1"/>
    <x v="2"/>
  </r>
  <r>
    <x v="97"/>
    <x v="90"/>
    <x v="0"/>
    <x v="4"/>
    <x v="43"/>
    <x v="2"/>
    <x v="3"/>
    <x v="2"/>
    <x v="0"/>
    <x v="3"/>
    <x v="20"/>
    <x v="97"/>
    <x v="0"/>
    <x v="97"/>
    <x v="2"/>
    <x v="0"/>
    <x v="0"/>
    <x v="0"/>
    <x v="1"/>
    <x v="2"/>
  </r>
  <r>
    <x v="98"/>
    <x v="65"/>
    <x v="2"/>
    <x v="4"/>
    <x v="4"/>
    <x v="1"/>
    <x v="2"/>
    <x v="3"/>
    <x v="1"/>
    <x v="0"/>
    <x v="20"/>
    <x v="98"/>
    <x v="2"/>
    <x v="98"/>
    <x v="1"/>
    <x v="0"/>
    <x v="0"/>
    <x v="1"/>
    <x v="1"/>
    <x v="1"/>
  </r>
  <r>
    <x v="99"/>
    <x v="91"/>
    <x v="0"/>
    <x v="3"/>
    <x v="23"/>
    <x v="3"/>
    <x v="3"/>
    <x v="3"/>
    <x v="4"/>
    <x v="0"/>
    <x v="19"/>
    <x v="99"/>
    <x v="0"/>
    <x v="99"/>
    <x v="1"/>
    <x v="1"/>
    <x v="0"/>
    <x v="1"/>
    <x v="0"/>
    <x v="1"/>
  </r>
  <r>
    <x v="100"/>
    <x v="92"/>
    <x v="1"/>
    <x v="4"/>
    <x v="18"/>
    <x v="3"/>
    <x v="2"/>
    <x v="1"/>
    <x v="2"/>
    <x v="2"/>
    <x v="11"/>
    <x v="100"/>
    <x v="0"/>
    <x v="100"/>
    <x v="0"/>
    <x v="0"/>
    <x v="1"/>
    <x v="0"/>
    <x v="0"/>
    <x v="2"/>
  </r>
  <r>
    <x v="101"/>
    <x v="93"/>
    <x v="3"/>
    <x v="0"/>
    <x v="1"/>
    <x v="0"/>
    <x v="5"/>
    <x v="2"/>
    <x v="0"/>
    <x v="0"/>
    <x v="27"/>
    <x v="101"/>
    <x v="3"/>
    <x v="101"/>
    <x v="1"/>
    <x v="0"/>
    <x v="0"/>
    <x v="1"/>
    <x v="2"/>
    <x v="0"/>
  </r>
  <r>
    <x v="102"/>
    <x v="5"/>
    <x v="4"/>
    <x v="0"/>
    <x v="41"/>
    <x v="3"/>
    <x v="0"/>
    <x v="0"/>
    <x v="4"/>
    <x v="3"/>
    <x v="2"/>
    <x v="102"/>
    <x v="0"/>
    <x v="102"/>
    <x v="1"/>
    <x v="0"/>
    <x v="0"/>
    <x v="1"/>
    <x v="3"/>
    <x v="2"/>
  </r>
  <r>
    <x v="103"/>
    <x v="94"/>
    <x v="4"/>
    <x v="2"/>
    <x v="44"/>
    <x v="3"/>
    <x v="0"/>
    <x v="2"/>
    <x v="3"/>
    <x v="0"/>
    <x v="31"/>
    <x v="103"/>
    <x v="0"/>
    <x v="103"/>
    <x v="2"/>
    <x v="0"/>
    <x v="1"/>
    <x v="1"/>
    <x v="4"/>
    <x v="2"/>
  </r>
  <r>
    <x v="104"/>
    <x v="95"/>
    <x v="2"/>
    <x v="4"/>
    <x v="4"/>
    <x v="2"/>
    <x v="1"/>
    <x v="1"/>
    <x v="3"/>
    <x v="0"/>
    <x v="25"/>
    <x v="104"/>
    <x v="1"/>
    <x v="104"/>
    <x v="1"/>
    <x v="2"/>
    <x v="0"/>
    <x v="0"/>
    <x v="0"/>
    <x v="1"/>
  </r>
  <r>
    <x v="105"/>
    <x v="96"/>
    <x v="3"/>
    <x v="2"/>
    <x v="11"/>
    <x v="1"/>
    <x v="2"/>
    <x v="3"/>
    <x v="0"/>
    <x v="3"/>
    <x v="42"/>
    <x v="105"/>
    <x v="3"/>
    <x v="105"/>
    <x v="0"/>
    <x v="2"/>
    <x v="0"/>
    <x v="0"/>
    <x v="3"/>
    <x v="2"/>
  </r>
  <r>
    <x v="106"/>
    <x v="97"/>
    <x v="1"/>
    <x v="3"/>
    <x v="0"/>
    <x v="3"/>
    <x v="0"/>
    <x v="1"/>
    <x v="0"/>
    <x v="3"/>
    <x v="2"/>
    <x v="106"/>
    <x v="2"/>
    <x v="106"/>
    <x v="2"/>
    <x v="2"/>
    <x v="1"/>
    <x v="1"/>
    <x v="0"/>
    <x v="0"/>
  </r>
  <r>
    <x v="107"/>
    <x v="25"/>
    <x v="4"/>
    <x v="2"/>
    <x v="42"/>
    <x v="2"/>
    <x v="5"/>
    <x v="1"/>
    <x v="0"/>
    <x v="2"/>
    <x v="26"/>
    <x v="107"/>
    <x v="3"/>
    <x v="107"/>
    <x v="1"/>
    <x v="0"/>
    <x v="0"/>
    <x v="1"/>
    <x v="1"/>
    <x v="2"/>
  </r>
  <r>
    <x v="108"/>
    <x v="98"/>
    <x v="4"/>
    <x v="1"/>
    <x v="45"/>
    <x v="0"/>
    <x v="1"/>
    <x v="3"/>
    <x v="0"/>
    <x v="2"/>
    <x v="34"/>
    <x v="108"/>
    <x v="1"/>
    <x v="108"/>
    <x v="1"/>
    <x v="0"/>
    <x v="1"/>
    <x v="0"/>
    <x v="4"/>
    <x v="0"/>
  </r>
  <r>
    <x v="109"/>
    <x v="99"/>
    <x v="0"/>
    <x v="3"/>
    <x v="7"/>
    <x v="0"/>
    <x v="2"/>
    <x v="2"/>
    <x v="4"/>
    <x v="2"/>
    <x v="40"/>
    <x v="109"/>
    <x v="2"/>
    <x v="109"/>
    <x v="2"/>
    <x v="1"/>
    <x v="0"/>
    <x v="0"/>
    <x v="1"/>
    <x v="0"/>
  </r>
  <r>
    <x v="110"/>
    <x v="100"/>
    <x v="0"/>
    <x v="2"/>
    <x v="22"/>
    <x v="1"/>
    <x v="1"/>
    <x v="3"/>
    <x v="2"/>
    <x v="1"/>
    <x v="14"/>
    <x v="68"/>
    <x v="0"/>
    <x v="68"/>
    <x v="2"/>
    <x v="0"/>
    <x v="1"/>
    <x v="1"/>
    <x v="4"/>
    <x v="2"/>
  </r>
  <r>
    <x v="111"/>
    <x v="101"/>
    <x v="0"/>
    <x v="3"/>
    <x v="34"/>
    <x v="3"/>
    <x v="5"/>
    <x v="3"/>
    <x v="1"/>
    <x v="2"/>
    <x v="43"/>
    <x v="110"/>
    <x v="0"/>
    <x v="110"/>
    <x v="1"/>
    <x v="1"/>
    <x v="1"/>
    <x v="1"/>
    <x v="0"/>
    <x v="2"/>
  </r>
  <r>
    <x v="112"/>
    <x v="98"/>
    <x v="2"/>
    <x v="2"/>
    <x v="46"/>
    <x v="1"/>
    <x v="1"/>
    <x v="0"/>
    <x v="3"/>
    <x v="2"/>
    <x v="20"/>
    <x v="111"/>
    <x v="0"/>
    <x v="111"/>
    <x v="2"/>
    <x v="1"/>
    <x v="0"/>
    <x v="1"/>
    <x v="3"/>
    <x v="2"/>
  </r>
  <r>
    <x v="113"/>
    <x v="102"/>
    <x v="0"/>
    <x v="3"/>
    <x v="24"/>
    <x v="1"/>
    <x v="0"/>
    <x v="0"/>
    <x v="2"/>
    <x v="2"/>
    <x v="41"/>
    <x v="112"/>
    <x v="0"/>
    <x v="112"/>
    <x v="0"/>
    <x v="0"/>
    <x v="0"/>
    <x v="1"/>
    <x v="1"/>
    <x v="2"/>
  </r>
  <r>
    <x v="114"/>
    <x v="103"/>
    <x v="0"/>
    <x v="0"/>
    <x v="31"/>
    <x v="3"/>
    <x v="3"/>
    <x v="2"/>
    <x v="3"/>
    <x v="3"/>
    <x v="44"/>
    <x v="113"/>
    <x v="1"/>
    <x v="113"/>
    <x v="2"/>
    <x v="0"/>
    <x v="0"/>
    <x v="1"/>
    <x v="0"/>
    <x v="0"/>
  </r>
  <r>
    <x v="115"/>
    <x v="104"/>
    <x v="4"/>
    <x v="4"/>
    <x v="19"/>
    <x v="1"/>
    <x v="1"/>
    <x v="1"/>
    <x v="0"/>
    <x v="2"/>
    <x v="22"/>
    <x v="114"/>
    <x v="3"/>
    <x v="114"/>
    <x v="0"/>
    <x v="1"/>
    <x v="0"/>
    <x v="1"/>
    <x v="3"/>
    <x v="2"/>
  </r>
  <r>
    <x v="116"/>
    <x v="105"/>
    <x v="2"/>
    <x v="4"/>
    <x v="45"/>
    <x v="0"/>
    <x v="4"/>
    <x v="0"/>
    <x v="0"/>
    <x v="0"/>
    <x v="13"/>
    <x v="115"/>
    <x v="1"/>
    <x v="115"/>
    <x v="0"/>
    <x v="1"/>
    <x v="1"/>
    <x v="1"/>
    <x v="3"/>
    <x v="1"/>
  </r>
  <r>
    <x v="117"/>
    <x v="106"/>
    <x v="2"/>
    <x v="3"/>
    <x v="31"/>
    <x v="1"/>
    <x v="4"/>
    <x v="3"/>
    <x v="3"/>
    <x v="3"/>
    <x v="18"/>
    <x v="116"/>
    <x v="1"/>
    <x v="116"/>
    <x v="0"/>
    <x v="1"/>
    <x v="1"/>
    <x v="1"/>
    <x v="2"/>
    <x v="2"/>
  </r>
  <r>
    <x v="118"/>
    <x v="107"/>
    <x v="3"/>
    <x v="4"/>
    <x v="21"/>
    <x v="3"/>
    <x v="2"/>
    <x v="3"/>
    <x v="3"/>
    <x v="0"/>
    <x v="35"/>
    <x v="117"/>
    <x v="3"/>
    <x v="117"/>
    <x v="2"/>
    <x v="0"/>
    <x v="0"/>
    <x v="0"/>
    <x v="4"/>
    <x v="2"/>
  </r>
  <r>
    <x v="119"/>
    <x v="108"/>
    <x v="1"/>
    <x v="3"/>
    <x v="42"/>
    <x v="1"/>
    <x v="1"/>
    <x v="1"/>
    <x v="1"/>
    <x v="3"/>
    <x v="15"/>
    <x v="118"/>
    <x v="0"/>
    <x v="118"/>
    <x v="0"/>
    <x v="1"/>
    <x v="0"/>
    <x v="1"/>
    <x v="2"/>
    <x v="1"/>
  </r>
  <r>
    <x v="120"/>
    <x v="109"/>
    <x v="3"/>
    <x v="3"/>
    <x v="17"/>
    <x v="1"/>
    <x v="3"/>
    <x v="1"/>
    <x v="1"/>
    <x v="0"/>
    <x v="2"/>
    <x v="119"/>
    <x v="3"/>
    <x v="119"/>
    <x v="0"/>
    <x v="0"/>
    <x v="1"/>
    <x v="1"/>
    <x v="3"/>
    <x v="0"/>
  </r>
  <r>
    <x v="121"/>
    <x v="27"/>
    <x v="1"/>
    <x v="2"/>
    <x v="46"/>
    <x v="2"/>
    <x v="3"/>
    <x v="2"/>
    <x v="2"/>
    <x v="2"/>
    <x v="8"/>
    <x v="120"/>
    <x v="0"/>
    <x v="120"/>
    <x v="0"/>
    <x v="2"/>
    <x v="1"/>
    <x v="0"/>
    <x v="2"/>
    <x v="1"/>
  </r>
  <r>
    <x v="122"/>
    <x v="110"/>
    <x v="0"/>
    <x v="4"/>
    <x v="24"/>
    <x v="0"/>
    <x v="2"/>
    <x v="1"/>
    <x v="2"/>
    <x v="3"/>
    <x v="10"/>
    <x v="121"/>
    <x v="0"/>
    <x v="121"/>
    <x v="1"/>
    <x v="0"/>
    <x v="1"/>
    <x v="0"/>
    <x v="3"/>
    <x v="2"/>
  </r>
  <r>
    <x v="123"/>
    <x v="111"/>
    <x v="2"/>
    <x v="0"/>
    <x v="6"/>
    <x v="2"/>
    <x v="3"/>
    <x v="1"/>
    <x v="0"/>
    <x v="0"/>
    <x v="1"/>
    <x v="122"/>
    <x v="2"/>
    <x v="122"/>
    <x v="0"/>
    <x v="1"/>
    <x v="1"/>
    <x v="1"/>
    <x v="3"/>
    <x v="2"/>
  </r>
  <r>
    <x v="124"/>
    <x v="112"/>
    <x v="0"/>
    <x v="3"/>
    <x v="25"/>
    <x v="1"/>
    <x v="3"/>
    <x v="2"/>
    <x v="1"/>
    <x v="3"/>
    <x v="45"/>
    <x v="123"/>
    <x v="1"/>
    <x v="123"/>
    <x v="2"/>
    <x v="2"/>
    <x v="0"/>
    <x v="1"/>
    <x v="4"/>
    <x v="0"/>
  </r>
  <r>
    <x v="125"/>
    <x v="113"/>
    <x v="3"/>
    <x v="1"/>
    <x v="40"/>
    <x v="1"/>
    <x v="1"/>
    <x v="2"/>
    <x v="0"/>
    <x v="3"/>
    <x v="45"/>
    <x v="124"/>
    <x v="0"/>
    <x v="124"/>
    <x v="2"/>
    <x v="2"/>
    <x v="0"/>
    <x v="1"/>
    <x v="2"/>
    <x v="2"/>
  </r>
  <r>
    <x v="126"/>
    <x v="114"/>
    <x v="2"/>
    <x v="2"/>
    <x v="5"/>
    <x v="1"/>
    <x v="1"/>
    <x v="1"/>
    <x v="3"/>
    <x v="0"/>
    <x v="42"/>
    <x v="125"/>
    <x v="3"/>
    <x v="125"/>
    <x v="0"/>
    <x v="1"/>
    <x v="1"/>
    <x v="1"/>
    <x v="2"/>
    <x v="1"/>
  </r>
  <r>
    <x v="127"/>
    <x v="115"/>
    <x v="0"/>
    <x v="1"/>
    <x v="0"/>
    <x v="1"/>
    <x v="0"/>
    <x v="0"/>
    <x v="4"/>
    <x v="1"/>
    <x v="46"/>
    <x v="126"/>
    <x v="0"/>
    <x v="126"/>
    <x v="0"/>
    <x v="2"/>
    <x v="1"/>
    <x v="0"/>
    <x v="4"/>
    <x v="0"/>
  </r>
  <r>
    <x v="128"/>
    <x v="116"/>
    <x v="1"/>
    <x v="3"/>
    <x v="23"/>
    <x v="3"/>
    <x v="4"/>
    <x v="3"/>
    <x v="0"/>
    <x v="2"/>
    <x v="45"/>
    <x v="127"/>
    <x v="0"/>
    <x v="127"/>
    <x v="0"/>
    <x v="1"/>
    <x v="0"/>
    <x v="0"/>
    <x v="4"/>
    <x v="0"/>
  </r>
  <r>
    <x v="129"/>
    <x v="117"/>
    <x v="2"/>
    <x v="4"/>
    <x v="31"/>
    <x v="1"/>
    <x v="2"/>
    <x v="2"/>
    <x v="4"/>
    <x v="0"/>
    <x v="40"/>
    <x v="128"/>
    <x v="0"/>
    <x v="128"/>
    <x v="2"/>
    <x v="2"/>
    <x v="1"/>
    <x v="1"/>
    <x v="3"/>
    <x v="2"/>
  </r>
  <r>
    <x v="130"/>
    <x v="118"/>
    <x v="2"/>
    <x v="1"/>
    <x v="19"/>
    <x v="0"/>
    <x v="0"/>
    <x v="1"/>
    <x v="3"/>
    <x v="1"/>
    <x v="25"/>
    <x v="129"/>
    <x v="3"/>
    <x v="129"/>
    <x v="1"/>
    <x v="0"/>
    <x v="0"/>
    <x v="1"/>
    <x v="3"/>
    <x v="0"/>
  </r>
  <r>
    <x v="131"/>
    <x v="70"/>
    <x v="1"/>
    <x v="3"/>
    <x v="30"/>
    <x v="2"/>
    <x v="4"/>
    <x v="1"/>
    <x v="3"/>
    <x v="0"/>
    <x v="26"/>
    <x v="130"/>
    <x v="2"/>
    <x v="130"/>
    <x v="1"/>
    <x v="0"/>
    <x v="0"/>
    <x v="0"/>
    <x v="0"/>
    <x v="1"/>
  </r>
  <r>
    <x v="132"/>
    <x v="64"/>
    <x v="2"/>
    <x v="4"/>
    <x v="10"/>
    <x v="0"/>
    <x v="1"/>
    <x v="2"/>
    <x v="2"/>
    <x v="0"/>
    <x v="10"/>
    <x v="131"/>
    <x v="2"/>
    <x v="131"/>
    <x v="0"/>
    <x v="0"/>
    <x v="1"/>
    <x v="1"/>
    <x v="1"/>
    <x v="2"/>
  </r>
  <r>
    <x v="133"/>
    <x v="68"/>
    <x v="1"/>
    <x v="0"/>
    <x v="5"/>
    <x v="0"/>
    <x v="2"/>
    <x v="1"/>
    <x v="3"/>
    <x v="2"/>
    <x v="14"/>
    <x v="132"/>
    <x v="2"/>
    <x v="132"/>
    <x v="0"/>
    <x v="1"/>
    <x v="1"/>
    <x v="1"/>
    <x v="3"/>
    <x v="1"/>
  </r>
  <r>
    <x v="134"/>
    <x v="119"/>
    <x v="0"/>
    <x v="1"/>
    <x v="41"/>
    <x v="1"/>
    <x v="2"/>
    <x v="0"/>
    <x v="0"/>
    <x v="0"/>
    <x v="39"/>
    <x v="133"/>
    <x v="3"/>
    <x v="133"/>
    <x v="0"/>
    <x v="0"/>
    <x v="0"/>
    <x v="1"/>
    <x v="3"/>
    <x v="0"/>
  </r>
  <r>
    <x v="135"/>
    <x v="120"/>
    <x v="1"/>
    <x v="3"/>
    <x v="46"/>
    <x v="0"/>
    <x v="3"/>
    <x v="3"/>
    <x v="4"/>
    <x v="1"/>
    <x v="22"/>
    <x v="134"/>
    <x v="0"/>
    <x v="134"/>
    <x v="0"/>
    <x v="0"/>
    <x v="1"/>
    <x v="0"/>
    <x v="3"/>
    <x v="2"/>
  </r>
  <r>
    <x v="136"/>
    <x v="56"/>
    <x v="1"/>
    <x v="0"/>
    <x v="22"/>
    <x v="2"/>
    <x v="2"/>
    <x v="2"/>
    <x v="4"/>
    <x v="3"/>
    <x v="10"/>
    <x v="135"/>
    <x v="2"/>
    <x v="135"/>
    <x v="0"/>
    <x v="0"/>
    <x v="1"/>
    <x v="1"/>
    <x v="0"/>
    <x v="2"/>
  </r>
  <r>
    <x v="137"/>
    <x v="121"/>
    <x v="0"/>
    <x v="0"/>
    <x v="41"/>
    <x v="2"/>
    <x v="1"/>
    <x v="3"/>
    <x v="0"/>
    <x v="1"/>
    <x v="27"/>
    <x v="136"/>
    <x v="1"/>
    <x v="136"/>
    <x v="2"/>
    <x v="0"/>
    <x v="1"/>
    <x v="1"/>
    <x v="4"/>
    <x v="2"/>
  </r>
  <r>
    <x v="138"/>
    <x v="122"/>
    <x v="0"/>
    <x v="3"/>
    <x v="47"/>
    <x v="1"/>
    <x v="2"/>
    <x v="2"/>
    <x v="4"/>
    <x v="1"/>
    <x v="4"/>
    <x v="137"/>
    <x v="2"/>
    <x v="137"/>
    <x v="1"/>
    <x v="0"/>
    <x v="0"/>
    <x v="1"/>
    <x v="4"/>
    <x v="2"/>
  </r>
  <r>
    <x v="139"/>
    <x v="123"/>
    <x v="4"/>
    <x v="3"/>
    <x v="33"/>
    <x v="1"/>
    <x v="4"/>
    <x v="2"/>
    <x v="0"/>
    <x v="2"/>
    <x v="47"/>
    <x v="138"/>
    <x v="0"/>
    <x v="138"/>
    <x v="0"/>
    <x v="0"/>
    <x v="0"/>
    <x v="0"/>
    <x v="1"/>
    <x v="2"/>
  </r>
  <r>
    <x v="140"/>
    <x v="59"/>
    <x v="1"/>
    <x v="0"/>
    <x v="11"/>
    <x v="1"/>
    <x v="2"/>
    <x v="1"/>
    <x v="0"/>
    <x v="0"/>
    <x v="26"/>
    <x v="139"/>
    <x v="0"/>
    <x v="139"/>
    <x v="1"/>
    <x v="0"/>
    <x v="1"/>
    <x v="1"/>
    <x v="2"/>
    <x v="0"/>
  </r>
  <r>
    <x v="141"/>
    <x v="101"/>
    <x v="3"/>
    <x v="1"/>
    <x v="21"/>
    <x v="3"/>
    <x v="1"/>
    <x v="0"/>
    <x v="3"/>
    <x v="1"/>
    <x v="17"/>
    <x v="140"/>
    <x v="1"/>
    <x v="140"/>
    <x v="2"/>
    <x v="2"/>
    <x v="0"/>
    <x v="1"/>
    <x v="3"/>
    <x v="0"/>
  </r>
  <r>
    <x v="142"/>
    <x v="124"/>
    <x v="0"/>
    <x v="4"/>
    <x v="22"/>
    <x v="2"/>
    <x v="5"/>
    <x v="2"/>
    <x v="1"/>
    <x v="2"/>
    <x v="34"/>
    <x v="141"/>
    <x v="2"/>
    <x v="141"/>
    <x v="2"/>
    <x v="0"/>
    <x v="1"/>
    <x v="1"/>
    <x v="4"/>
    <x v="0"/>
  </r>
  <r>
    <x v="143"/>
    <x v="125"/>
    <x v="3"/>
    <x v="3"/>
    <x v="28"/>
    <x v="1"/>
    <x v="4"/>
    <x v="1"/>
    <x v="2"/>
    <x v="3"/>
    <x v="29"/>
    <x v="142"/>
    <x v="2"/>
    <x v="142"/>
    <x v="0"/>
    <x v="1"/>
    <x v="0"/>
    <x v="0"/>
    <x v="2"/>
    <x v="2"/>
  </r>
  <r>
    <x v="144"/>
    <x v="126"/>
    <x v="2"/>
    <x v="2"/>
    <x v="48"/>
    <x v="1"/>
    <x v="2"/>
    <x v="0"/>
    <x v="4"/>
    <x v="2"/>
    <x v="33"/>
    <x v="143"/>
    <x v="0"/>
    <x v="143"/>
    <x v="0"/>
    <x v="0"/>
    <x v="1"/>
    <x v="1"/>
    <x v="0"/>
    <x v="0"/>
  </r>
  <r>
    <x v="145"/>
    <x v="46"/>
    <x v="2"/>
    <x v="3"/>
    <x v="12"/>
    <x v="0"/>
    <x v="5"/>
    <x v="0"/>
    <x v="0"/>
    <x v="0"/>
    <x v="48"/>
    <x v="144"/>
    <x v="1"/>
    <x v="144"/>
    <x v="1"/>
    <x v="1"/>
    <x v="1"/>
    <x v="0"/>
    <x v="3"/>
    <x v="1"/>
  </r>
  <r>
    <x v="146"/>
    <x v="127"/>
    <x v="4"/>
    <x v="4"/>
    <x v="47"/>
    <x v="3"/>
    <x v="1"/>
    <x v="2"/>
    <x v="3"/>
    <x v="2"/>
    <x v="8"/>
    <x v="145"/>
    <x v="1"/>
    <x v="145"/>
    <x v="0"/>
    <x v="0"/>
    <x v="0"/>
    <x v="0"/>
    <x v="2"/>
    <x v="1"/>
  </r>
  <r>
    <x v="147"/>
    <x v="128"/>
    <x v="0"/>
    <x v="1"/>
    <x v="33"/>
    <x v="3"/>
    <x v="0"/>
    <x v="1"/>
    <x v="3"/>
    <x v="3"/>
    <x v="30"/>
    <x v="146"/>
    <x v="3"/>
    <x v="146"/>
    <x v="1"/>
    <x v="0"/>
    <x v="1"/>
    <x v="1"/>
    <x v="3"/>
    <x v="1"/>
  </r>
  <r>
    <x v="148"/>
    <x v="129"/>
    <x v="2"/>
    <x v="3"/>
    <x v="31"/>
    <x v="3"/>
    <x v="2"/>
    <x v="3"/>
    <x v="1"/>
    <x v="1"/>
    <x v="25"/>
    <x v="147"/>
    <x v="2"/>
    <x v="147"/>
    <x v="1"/>
    <x v="0"/>
    <x v="1"/>
    <x v="1"/>
    <x v="0"/>
    <x v="2"/>
  </r>
  <r>
    <x v="149"/>
    <x v="130"/>
    <x v="0"/>
    <x v="3"/>
    <x v="3"/>
    <x v="3"/>
    <x v="5"/>
    <x v="1"/>
    <x v="1"/>
    <x v="1"/>
    <x v="46"/>
    <x v="148"/>
    <x v="2"/>
    <x v="148"/>
    <x v="0"/>
    <x v="1"/>
    <x v="1"/>
    <x v="1"/>
    <x v="0"/>
    <x v="2"/>
  </r>
  <r>
    <x v="150"/>
    <x v="131"/>
    <x v="4"/>
    <x v="0"/>
    <x v="9"/>
    <x v="1"/>
    <x v="3"/>
    <x v="3"/>
    <x v="4"/>
    <x v="0"/>
    <x v="39"/>
    <x v="149"/>
    <x v="0"/>
    <x v="149"/>
    <x v="2"/>
    <x v="0"/>
    <x v="1"/>
    <x v="0"/>
    <x v="0"/>
    <x v="2"/>
  </r>
  <r>
    <x v="151"/>
    <x v="130"/>
    <x v="2"/>
    <x v="3"/>
    <x v="27"/>
    <x v="1"/>
    <x v="3"/>
    <x v="2"/>
    <x v="3"/>
    <x v="2"/>
    <x v="26"/>
    <x v="150"/>
    <x v="1"/>
    <x v="150"/>
    <x v="0"/>
    <x v="1"/>
    <x v="1"/>
    <x v="1"/>
    <x v="0"/>
    <x v="2"/>
  </r>
  <r>
    <x v="152"/>
    <x v="132"/>
    <x v="2"/>
    <x v="0"/>
    <x v="10"/>
    <x v="2"/>
    <x v="5"/>
    <x v="3"/>
    <x v="1"/>
    <x v="3"/>
    <x v="16"/>
    <x v="151"/>
    <x v="0"/>
    <x v="151"/>
    <x v="1"/>
    <x v="0"/>
    <x v="1"/>
    <x v="1"/>
    <x v="0"/>
    <x v="1"/>
  </r>
  <r>
    <x v="153"/>
    <x v="39"/>
    <x v="2"/>
    <x v="0"/>
    <x v="25"/>
    <x v="2"/>
    <x v="0"/>
    <x v="0"/>
    <x v="2"/>
    <x v="3"/>
    <x v="5"/>
    <x v="152"/>
    <x v="0"/>
    <x v="152"/>
    <x v="2"/>
    <x v="0"/>
    <x v="1"/>
    <x v="1"/>
    <x v="0"/>
    <x v="0"/>
  </r>
  <r>
    <x v="154"/>
    <x v="57"/>
    <x v="2"/>
    <x v="3"/>
    <x v="28"/>
    <x v="2"/>
    <x v="5"/>
    <x v="2"/>
    <x v="0"/>
    <x v="1"/>
    <x v="41"/>
    <x v="153"/>
    <x v="1"/>
    <x v="153"/>
    <x v="2"/>
    <x v="0"/>
    <x v="1"/>
    <x v="1"/>
    <x v="0"/>
    <x v="2"/>
  </r>
  <r>
    <x v="155"/>
    <x v="79"/>
    <x v="0"/>
    <x v="2"/>
    <x v="43"/>
    <x v="2"/>
    <x v="4"/>
    <x v="0"/>
    <x v="4"/>
    <x v="2"/>
    <x v="7"/>
    <x v="154"/>
    <x v="0"/>
    <x v="154"/>
    <x v="0"/>
    <x v="2"/>
    <x v="0"/>
    <x v="1"/>
    <x v="2"/>
    <x v="2"/>
  </r>
  <r>
    <x v="156"/>
    <x v="133"/>
    <x v="2"/>
    <x v="2"/>
    <x v="22"/>
    <x v="2"/>
    <x v="4"/>
    <x v="0"/>
    <x v="2"/>
    <x v="3"/>
    <x v="20"/>
    <x v="155"/>
    <x v="3"/>
    <x v="155"/>
    <x v="1"/>
    <x v="0"/>
    <x v="0"/>
    <x v="1"/>
    <x v="1"/>
    <x v="2"/>
  </r>
  <r>
    <x v="157"/>
    <x v="134"/>
    <x v="2"/>
    <x v="0"/>
    <x v="17"/>
    <x v="3"/>
    <x v="4"/>
    <x v="2"/>
    <x v="3"/>
    <x v="0"/>
    <x v="20"/>
    <x v="156"/>
    <x v="3"/>
    <x v="156"/>
    <x v="0"/>
    <x v="2"/>
    <x v="0"/>
    <x v="0"/>
    <x v="1"/>
    <x v="2"/>
  </r>
  <r>
    <x v="158"/>
    <x v="135"/>
    <x v="4"/>
    <x v="4"/>
    <x v="22"/>
    <x v="1"/>
    <x v="3"/>
    <x v="3"/>
    <x v="4"/>
    <x v="0"/>
    <x v="20"/>
    <x v="157"/>
    <x v="0"/>
    <x v="157"/>
    <x v="2"/>
    <x v="0"/>
    <x v="0"/>
    <x v="1"/>
    <x v="4"/>
    <x v="2"/>
  </r>
  <r>
    <x v="159"/>
    <x v="85"/>
    <x v="0"/>
    <x v="1"/>
    <x v="6"/>
    <x v="1"/>
    <x v="3"/>
    <x v="0"/>
    <x v="1"/>
    <x v="1"/>
    <x v="43"/>
    <x v="158"/>
    <x v="3"/>
    <x v="158"/>
    <x v="0"/>
    <x v="1"/>
    <x v="0"/>
    <x v="0"/>
    <x v="4"/>
    <x v="1"/>
  </r>
  <r>
    <x v="160"/>
    <x v="136"/>
    <x v="3"/>
    <x v="4"/>
    <x v="3"/>
    <x v="0"/>
    <x v="1"/>
    <x v="0"/>
    <x v="1"/>
    <x v="1"/>
    <x v="24"/>
    <x v="159"/>
    <x v="3"/>
    <x v="159"/>
    <x v="0"/>
    <x v="0"/>
    <x v="0"/>
    <x v="1"/>
    <x v="4"/>
    <x v="1"/>
  </r>
  <r>
    <x v="161"/>
    <x v="104"/>
    <x v="3"/>
    <x v="4"/>
    <x v="35"/>
    <x v="1"/>
    <x v="0"/>
    <x v="2"/>
    <x v="3"/>
    <x v="1"/>
    <x v="21"/>
    <x v="160"/>
    <x v="1"/>
    <x v="160"/>
    <x v="2"/>
    <x v="2"/>
    <x v="1"/>
    <x v="1"/>
    <x v="1"/>
    <x v="1"/>
  </r>
  <r>
    <x v="162"/>
    <x v="137"/>
    <x v="3"/>
    <x v="3"/>
    <x v="15"/>
    <x v="0"/>
    <x v="5"/>
    <x v="1"/>
    <x v="0"/>
    <x v="1"/>
    <x v="0"/>
    <x v="161"/>
    <x v="0"/>
    <x v="161"/>
    <x v="0"/>
    <x v="1"/>
    <x v="1"/>
    <x v="1"/>
    <x v="0"/>
    <x v="2"/>
  </r>
  <r>
    <x v="163"/>
    <x v="138"/>
    <x v="0"/>
    <x v="4"/>
    <x v="16"/>
    <x v="3"/>
    <x v="1"/>
    <x v="0"/>
    <x v="3"/>
    <x v="1"/>
    <x v="22"/>
    <x v="162"/>
    <x v="1"/>
    <x v="162"/>
    <x v="0"/>
    <x v="0"/>
    <x v="1"/>
    <x v="1"/>
    <x v="4"/>
    <x v="2"/>
  </r>
  <r>
    <x v="164"/>
    <x v="94"/>
    <x v="0"/>
    <x v="3"/>
    <x v="42"/>
    <x v="3"/>
    <x v="3"/>
    <x v="1"/>
    <x v="4"/>
    <x v="0"/>
    <x v="27"/>
    <x v="163"/>
    <x v="3"/>
    <x v="163"/>
    <x v="1"/>
    <x v="0"/>
    <x v="1"/>
    <x v="1"/>
    <x v="4"/>
    <x v="2"/>
  </r>
  <r>
    <x v="165"/>
    <x v="139"/>
    <x v="0"/>
    <x v="2"/>
    <x v="33"/>
    <x v="1"/>
    <x v="2"/>
    <x v="1"/>
    <x v="2"/>
    <x v="1"/>
    <x v="1"/>
    <x v="164"/>
    <x v="1"/>
    <x v="164"/>
    <x v="1"/>
    <x v="2"/>
    <x v="0"/>
    <x v="1"/>
    <x v="0"/>
    <x v="1"/>
  </r>
  <r>
    <x v="166"/>
    <x v="119"/>
    <x v="0"/>
    <x v="0"/>
    <x v="39"/>
    <x v="1"/>
    <x v="1"/>
    <x v="2"/>
    <x v="3"/>
    <x v="3"/>
    <x v="12"/>
    <x v="165"/>
    <x v="3"/>
    <x v="165"/>
    <x v="0"/>
    <x v="0"/>
    <x v="1"/>
    <x v="1"/>
    <x v="0"/>
    <x v="2"/>
  </r>
  <r>
    <x v="167"/>
    <x v="105"/>
    <x v="0"/>
    <x v="2"/>
    <x v="44"/>
    <x v="3"/>
    <x v="5"/>
    <x v="1"/>
    <x v="3"/>
    <x v="0"/>
    <x v="0"/>
    <x v="166"/>
    <x v="2"/>
    <x v="166"/>
    <x v="1"/>
    <x v="1"/>
    <x v="0"/>
    <x v="1"/>
    <x v="4"/>
    <x v="2"/>
  </r>
  <r>
    <x v="168"/>
    <x v="44"/>
    <x v="2"/>
    <x v="4"/>
    <x v="30"/>
    <x v="1"/>
    <x v="0"/>
    <x v="3"/>
    <x v="1"/>
    <x v="0"/>
    <x v="48"/>
    <x v="167"/>
    <x v="2"/>
    <x v="167"/>
    <x v="0"/>
    <x v="0"/>
    <x v="1"/>
    <x v="0"/>
    <x v="0"/>
    <x v="0"/>
  </r>
  <r>
    <x v="169"/>
    <x v="140"/>
    <x v="3"/>
    <x v="3"/>
    <x v="28"/>
    <x v="2"/>
    <x v="3"/>
    <x v="1"/>
    <x v="2"/>
    <x v="1"/>
    <x v="9"/>
    <x v="168"/>
    <x v="1"/>
    <x v="168"/>
    <x v="0"/>
    <x v="2"/>
    <x v="1"/>
    <x v="1"/>
    <x v="0"/>
    <x v="1"/>
  </r>
  <r>
    <x v="170"/>
    <x v="42"/>
    <x v="4"/>
    <x v="1"/>
    <x v="15"/>
    <x v="1"/>
    <x v="5"/>
    <x v="2"/>
    <x v="3"/>
    <x v="3"/>
    <x v="14"/>
    <x v="169"/>
    <x v="3"/>
    <x v="169"/>
    <x v="0"/>
    <x v="1"/>
    <x v="0"/>
    <x v="0"/>
    <x v="1"/>
    <x v="1"/>
  </r>
  <r>
    <x v="171"/>
    <x v="141"/>
    <x v="2"/>
    <x v="2"/>
    <x v="4"/>
    <x v="1"/>
    <x v="3"/>
    <x v="3"/>
    <x v="1"/>
    <x v="1"/>
    <x v="41"/>
    <x v="170"/>
    <x v="2"/>
    <x v="170"/>
    <x v="0"/>
    <x v="1"/>
    <x v="1"/>
    <x v="1"/>
    <x v="2"/>
    <x v="0"/>
  </r>
  <r>
    <x v="172"/>
    <x v="135"/>
    <x v="3"/>
    <x v="3"/>
    <x v="11"/>
    <x v="1"/>
    <x v="5"/>
    <x v="2"/>
    <x v="4"/>
    <x v="3"/>
    <x v="43"/>
    <x v="171"/>
    <x v="1"/>
    <x v="171"/>
    <x v="0"/>
    <x v="0"/>
    <x v="1"/>
    <x v="1"/>
    <x v="0"/>
    <x v="2"/>
  </r>
  <r>
    <x v="173"/>
    <x v="142"/>
    <x v="2"/>
    <x v="0"/>
    <x v="26"/>
    <x v="2"/>
    <x v="0"/>
    <x v="2"/>
    <x v="4"/>
    <x v="2"/>
    <x v="3"/>
    <x v="172"/>
    <x v="2"/>
    <x v="172"/>
    <x v="0"/>
    <x v="0"/>
    <x v="0"/>
    <x v="1"/>
    <x v="0"/>
    <x v="1"/>
  </r>
  <r>
    <x v="174"/>
    <x v="94"/>
    <x v="2"/>
    <x v="2"/>
    <x v="47"/>
    <x v="2"/>
    <x v="2"/>
    <x v="3"/>
    <x v="2"/>
    <x v="1"/>
    <x v="37"/>
    <x v="173"/>
    <x v="2"/>
    <x v="173"/>
    <x v="2"/>
    <x v="0"/>
    <x v="1"/>
    <x v="1"/>
    <x v="2"/>
    <x v="2"/>
  </r>
  <r>
    <x v="175"/>
    <x v="143"/>
    <x v="2"/>
    <x v="0"/>
    <x v="5"/>
    <x v="1"/>
    <x v="0"/>
    <x v="1"/>
    <x v="3"/>
    <x v="3"/>
    <x v="28"/>
    <x v="174"/>
    <x v="2"/>
    <x v="174"/>
    <x v="1"/>
    <x v="0"/>
    <x v="0"/>
    <x v="1"/>
    <x v="2"/>
    <x v="0"/>
  </r>
  <r>
    <x v="176"/>
    <x v="144"/>
    <x v="0"/>
    <x v="2"/>
    <x v="8"/>
    <x v="1"/>
    <x v="1"/>
    <x v="1"/>
    <x v="4"/>
    <x v="1"/>
    <x v="15"/>
    <x v="175"/>
    <x v="0"/>
    <x v="175"/>
    <x v="2"/>
    <x v="1"/>
    <x v="1"/>
    <x v="0"/>
    <x v="1"/>
    <x v="1"/>
  </r>
  <r>
    <x v="177"/>
    <x v="113"/>
    <x v="2"/>
    <x v="3"/>
    <x v="7"/>
    <x v="2"/>
    <x v="4"/>
    <x v="0"/>
    <x v="2"/>
    <x v="2"/>
    <x v="46"/>
    <x v="176"/>
    <x v="1"/>
    <x v="176"/>
    <x v="0"/>
    <x v="0"/>
    <x v="1"/>
    <x v="1"/>
    <x v="0"/>
    <x v="1"/>
  </r>
  <r>
    <x v="178"/>
    <x v="145"/>
    <x v="3"/>
    <x v="4"/>
    <x v="31"/>
    <x v="0"/>
    <x v="3"/>
    <x v="1"/>
    <x v="4"/>
    <x v="3"/>
    <x v="46"/>
    <x v="177"/>
    <x v="3"/>
    <x v="177"/>
    <x v="0"/>
    <x v="0"/>
    <x v="1"/>
    <x v="1"/>
    <x v="1"/>
    <x v="2"/>
  </r>
  <r>
    <x v="179"/>
    <x v="146"/>
    <x v="3"/>
    <x v="3"/>
    <x v="8"/>
    <x v="0"/>
    <x v="3"/>
    <x v="1"/>
    <x v="0"/>
    <x v="3"/>
    <x v="32"/>
    <x v="178"/>
    <x v="0"/>
    <x v="178"/>
    <x v="0"/>
    <x v="0"/>
    <x v="1"/>
    <x v="0"/>
    <x v="0"/>
    <x v="0"/>
  </r>
  <r>
    <x v="180"/>
    <x v="104"/>
    <x v="4"/>
    <x v="0"/>
    <x v="29"/>
    <x v="1"/>
    <x v="2"/>
    <x v="0"/>
    <x v="3"/>
    <x v="1"/>
    <x v="5"/>
    <x v="179"/>
    <x v="3"/>
    <x v="179"/>
    <x v="2"/>
    <x v="0"/>
    <x v="0"/>
    <x v="1"/>
    <x v="0"/>
    <x v="0"/>
  </r>
  <r>
    <x v="181"/>
    <x v="89"/>
    <x v="4"/>
    <x v="0"/>
    <x v="40"/>
    <x v="3"/>
    <x v="2"/>
    <x v="0"/>
    <x v="1"/>
    <x v="0"/>
    <x v="22"/>
    <x v="180"/>
    <x v="2"/>
    <x v="180"/>
    <x v="0"/>
    <x v="0"/>
    <x v="1"/>
    <x v="1"/>
    <x v="1"/>
    <x v="2"/>
  </r>
  <r>
    <x v="182"/>
    <x v="147"/>
    <x v="0"/>
    <x v="0"/>
    <x v="12"/>
    <x v="2"/>
    <x v="4"/>
    <x v="0"/>
    <x v="1"/>
    <x v="0"/>
    <x v="3"/>
    <x v="181"/>
    <x v="0"/>
    <x v="181"/>
    <x v="0"/>
    <x v="2"/>
    <x v="0"/>
    <x v="1"/>
    <x v="1"/>
    <x v="2"/>
  </r>
  <r>
    <x v="183"/>
    <x v="118"/>
    <x v="0"/>
    <x v="0"/>
    <x v="17"/>
    <x v="2"/>
    <x v="3"/>
    <x v="1"/>
    <x v="4"/>
    <x v="1"/>
    <x v="1"/>
    <x v="182"/>
    <x v="2"/>
    <x v="182"/>
    <x v="1"/>
    <x v="0"/>
    <x v="1"/>
    <x v="0"/>
    <x v="0"/>
    <x v="2"/>
  </r>
  <r>
    <x v="184"/>
    <x v="14"/>
    <x v="2"/>
    <x v="0"/>
    <x v="24"/>
    <x v="3"/>
    <x v="4"/>
    <x v="2"/>
    <x v="1"/>
    <x v="2"/>
    <x v="43"/>
    <x v="183"/>
    <x v="0"/>
    <x v="183"/>
    <x v="1"/>
    <x v="2"/>
    <x v="0"/>
    <x v="1"/>
    <x v="2"/>
    <x v="0"/>
  </r>
  <r>
    <x v="185"/>
    <x v="98"/>
    <x v="1"/>
    <x v="1"/>
    <x v="27"/>
    <x v="3"/>
    <x v="4"/>
    <x v="2"/>
    <x v="4"/>
    <x v="1"/>
    <x v="19"/>
    <x v="184"/>
    <x v="2"/>
    <x v="184"/>
    <x v="0"/>
    <x v="0"/>
    <x v="0"/>
    <x v="1"/>
    <x v="2"/>
    <x v="0"/>
  </r>
  <r>
    <x v="186"/>
    <x v="148"/>
    <x v="2"/>
    <x v="3"/>
    <x v="26"/>
    <x v="2"/>
    <x v="1"/>
    <x v="1"/>
    <x v="0"/>
    <x v="3"/>
    <x v="27"/>
    <x v="185"/>
    <x v="0"/>
    <x v="185"/>
    <x v="0"/>
    <x v="0"/>
    <x v="0"/>
    <x v="0"/>
    <x v="0"/>
    <x v="2"/>
  </r>
  <r>
    <x v="187"/>
    <x v="149"/>
    <x v="1"/>
    <x v="2"/>
    <x v="30"/>
    <x v="3"/>
    <x v="3"/>
    <x v="3"/>
    <x v="1"/>
    <x v="3"/>
    <x v="20"/>
    <x v="186"/>
    <x v="0"/>
    <x v="186"/>
    <x v="1"/>
    <x v="2"/>
    <x v="0"/>
    <x v="1"/>
    <x v="0"/>
    <x v="0"/>
  </r>
  <r>
    <x v="188"/>
    <x v="75"/>
    <x v="1"/>
    <x v="2"/>
    <x v="15"/>
    <x v="1"/>
    <x v="2"/>
    <x v="1"/>
    <x v="3"/>
    <x v="3"/>
    <x v="25"/>
    <x v="187"/>
    <x v="2"/>
    <x v="187"/>
    <x v="0"/>
    <x v="1"/>
    <x v="0"/>
    <x v="1"/>
    <x v="0"/>
    <x v="2"/>
  </r>
  <r>
    <x v="189"/>
    <x v="150"/>
    <x v="1"/>
    <x v="0"/>
    <x v="40"/>
    <x v="3"/>
    <x v="2"/>
    <x v="0"/>
    <x v="4"/>
    <x v="0"/>
    <x v="22"/>
    <x v="188"/>
    <x v="0"/>
    <x v="188"/>
    <x v="1"/>
    <x v="0"/>
    <x v="0"/>
    <x v="1"/>
    <x v="3"/>
    <x v="1"/>
  </r>
  <r>
    <x v="190"/>
    <x v="151"/>
    <x v="3"/>
    <x v="3"/>
    <x v="0"/>
    <x v="0"/>
    <x v="2"/>
    <x v="1"/>
    <x v="4"/>
    <x v="2"/>
    <x v="37"/>
    <x v="189"/>
    <x v="0"/>
    <x v="189"/>
    <x v="2"/>
    <x v="0"/>
    <x v="1"/>
    <x v="1"/>
    <x v="3"/>
    <x v="1"/>
  </r>
  <r>
    <x v="191"/>
    <x v="152"/>
    <x v="4"/>
    <x v="3"/>
    <x v="26"/>
    <x v="1"/>
    <x v="1"/>
    <x v="0"/>
    <x v="3"/>
    <x v="0"/>
    <x v="41"/>
    <x v="190"/>
    <x v="0"/>
    <x v="190"/>
    <x v="1"/>
    <x v="0"/>
    <x v="0"/>
    <x v="0"/>
    <x v="1"/>
    <x v="2"/>
  </r>
  <r>
    <x v="192"/>
    <x v="153"/>
    <x v="3"/>
    <x v="4"/>
    <x v="17"/>
    <x v="1"/>
    <x v="5"/>
    <x v="1"/>
    <x v="1"/>
    <x v="1"/>
    <x v="45"/>
    <x v="191"/>
    <x v="3"/>
    <x v="191"/>
    <x v="2"/>
    <x v="0"/>
    <x v="0"/>
    <x v="0"/>
    <x v="3"/>
    <x v="2"/>
  </r>
  <r>
    <x v="193"/>
    <x v="45"/>
    <x v="2"/>
    <x v="3"/>
    <x v="25"/>
    <x v="2"/>
    <x v="4"/>
    <x v="1"/>
    <x v="1"/>
    <x v="2"/>
    <x v="27"/>
    <x v="192"/>
    <x v="3"/>
    <x v="192"/>
    <x v="0"/>
    <x v="0"/>
    <x v="0"/>
    <x v="1"/>
    <x v="1"/>
    <x v="1"/>
  </r>
  <r>
    <x v="194"/>
    <x v="154"/>
    <x v="2"/>
    <x v="2"/>
    <x v="0"/>
    <x v="1"/>
    <x v="0"/>
    <x v="3"/>
    <x v="3"/>
    <x v="3"/>
    <x v="27"/>
    <x v="193"/>
    <x v="0"/>
    <x v="193"/>
    <x v="1"/>
    <x v="1"/>
    <x v="0"/>
    <x v="1"/>
    <x v="0"/>
    <x v="0"/>
  </r>
  <r>
    <x v="195"/>
    <x v="121"/>
    <x v="3"/>
    <x v="0"/>
    <x v="4"/>
    <x v="2"/>
    <x v="1"/>
    <x v="1"/>
    <x v="1"/>
    <x v="2"/>
    <x v="35"/>
    <x v="194"/>
    <x v="2"/>
    <x v="194"/>
    <x v="0"/>
    <x v="0"/>
    <x v="0"/>
    <x v="0"/>
    <x v="0"/>
    <x v="1"/>
  </r>
  <r>
    <x v="196"/>
    <x v="29"/>
    <x v="0"/>
    <x v="3"/>
    <x v="25"/>
    <x v="2"/>
    <x v="2"/>
    <x v="2"/>
    <x v="1"/>
    <x v="0"/>
    <x v="6"/>
    <x v="195"/>
    <x v="2"/>
    <x v="195"/>
    <x v="0"/>
    <x v="0"/>
    <x v="0"/>
    <x v="1"/>
    <x v="0"/>
    <x v="0"/>
  </r>
  <r>
    <x v="197"/>
    <x v="23"/>
    <x v="3"/>
    <x v="2"/>
    <x v="34"/>
    <x v="2"/>
    <x v="2"/>
    <x v="2"/>
    <x v="3"/>
    <x v="3"/>
    <x v="5"/>
    <x v="196"/>
    <x v="2"/>
    <x v="196"/>
    <x v="1"/>
    <x v="0"/>
    <x v="1"/>
    <x v="0"/>
    <x v="1"/>
    <x v="2"/>
  </r>
  <r>
    <x v="198"/>
    <x v="155"/>
    <x v="3"/>
    <x v="4"/>
    <x v="45"/>
    <x v="1"/>
    <x v="1"/>
    <x v="0"/>
    <x v="1"/>
    <x v="2"/>
    <x v="24"/>
    <x v="197"/>
    <x v="0"/>
    <x v="197"/>
    <x v="0"/>
    <x v="1"/>
    <x v="0"/>
    <x v="1"/>
    <x v="0"/>
    <x v="2"/>
  </r>
  <r>
    <x v="199"/>
    <x v="156"/>
    <x v="2"/>
    <x v="3"/>
    <x v="34"/>
    <x v="1"/>
    <x v="5"/>
    <x v="0"/>
    <x v="3"/>
    <x v="3"/>
    <x v="8"/>
    <x v="198"/>
    <x v="3"/>
    <x v="198"/>
    <x v="2"/>
    <x v="1"/>
    <x v="0"/>
    <x v="1"/>
    <x v="4"/>
    <x v="0"/>
  </r>
  <r>
    <x v="200"/>
    <x v="157"/>
    <x v="4"/>
    <x v="0"/>
    <x v="16"/>
    <x v="2"/>
    <x v="5"/>
    <x v="1"/>
    <x v="0"/>
    <x v="1"/>
    <x v="47"/>
    <x v="199"/>
    <x v="3"/>
    <x v="199"/>
    <x v="0"/>
    <x v="2"/>
    <x v="0"/>
    <x v="0"/>
    <x v="0"/>
    <x v="0"/>
  </r>
  <r>
    <x v="201"/>
    <x v="158"/>
    <x v="4"/>
    <x v="3"/>
    <x v="16"/>
    <x v="2"/>
    <x v="1"/>
    <x v="1"/>
    <x v="4"/>
    <x v="3"/>
    <x v="13"/>
    <x v="200"/>
    <x v="0"/>
    <x v="200"/>
    <x v="0"/>
    <x v="0"/>
    <x v="1"/>
    <x v="0"/>
    <x v="4"/>
    <x v="2"/>
  </r>
  <r>
    <x v="202"/>
    <x v="159"/>
    <x v="3"/>
    <x v="3"/>
    <x v="18"/>
    <x v="0"/>
    <x v="1"/>
    <x v="3"/>
    <x v="0"/>
    <x v="0"/>
    <x v="14"/>
    <x v="201"/>
    <x v="2"/>
    <x v="201"/>
    <x v="2"/>
    <x v="0"/>
    <x v="1"/>
    <x v="1"/>
    <x v="4"/>
    <x v="2"/>
  </r>
  <r>
    <x v="203"/>
    <x v="160"/>
    <x v="3"/>
    <x v="4"/>
    <x v="16"/>
    <x v="2"/>
    <x v="0"/>
    <x v="1"/>
    <x v="0"/>
    <x v="0"/>
    <x v="33"/>
    <x v="202"/>
    <x v="3"/>
    <x v="202"/>
    <x v="0"/>
    <x v="0"/>
    <x v="0"/>
    <x v="1"/>
    <x v="3"/>
    <x v="1"/>
  </r>
  <r>
    <x v="204"/>
    <x v="148"/>
    <x v="3"/>
    <x v="3"/>
    <x v="1"/>
    <x v="0"/>
    <x v="3"/>
    <x v="0"/>
    <x v="4"/>
    <x v="2"/>
    <x v="13"/>
    <x v="203"/>
    <x v="1"/>
    <x v="203"/>
    <x v="2"/>
    <x v="1"/>
    <x v="1"/>
    <x v="0"/>
    <x v="1"/>
    <x v="0"/>
  </r>
  <r>
    <x v="205"/>
    <x v="50"/>
    <x v="1"/>
    <x v="3"/>
    <x v="0"/>
    <x v="2"/>
    <x v="0"/>
    <x v="1"/>
    <x v="1"/>
    <x v="2"/>
    <x v="49"/>
    <x v="204"/>
    <x v="0"/>
    <x v="204"/>
    <x v="2"/>
    <x v="2"/>
    <x v="0"/>
    <x v="1"/>
    <x v="2"/>
    <x v="1"/>
  </r>
  <r>
    <x v="206"/>
    <x v="161"/>
    <x v="1"/>
    <x v="3"/>
    <x v="26"/>
    <x v="1"/>
    <x v="4"/>
    <x v="1"/>
    <x v="3"/>
    <x v="1"/>
    <x v="19"/>
    <x v="205"/>
    <x v="0"/>
    <x v="205"/>
    <x v="1"/>
    <x v="1"/>
    <x v="0"/>
    <x v="1"/>
    <x v="4"/>
    <x v="2"/>
  </r>
  <r>
    <x v="207"/>
    <x v="162"/>
    <x v="1"/>
    <x v="3"/>
    <x v="16"/>
    <x v="0"/>
    <x v="2"/>
    <x v="0"/>
    <x v="3"/>
    <x v="0"/>
    <x v="18"/>
    <x v="206"/>
    <x v="2"/>
    <x v="206"/>
    <x v="0"/>
    <x v="2"/>
    <x v="0"/>
    <x v="1"/>
    <x v="2"/>
    <x v="2"/>
  </r>
  <r>
    <x v="208"/>
    <x v="57"/>
    <x v="0"/>
    <x v="2"/>
    <x v="40"/>
    <x v="0"/>
    <x v="0"/>
    <x v="0"/>
    <x v="1"/>
    <x v="3"/>
    <x v="31"/>
    <x v="207"/>
    <x v="0"/>
    <x v="207"/>
    <x v="2"/>
    <x v="1"/>
    <x v="1"/>
    <x v="1"/>
    <x v="2"/>
    <x v="1"/>
  </r>
  <r>
    <x v="209"/>
    <x v="163"/>
    <x v="2"/>
    <x v="0"/>
    <x v="9"/>
    <x v="3"/>
    <x v="3"/>
    <x v="3"/>
    <x v="2"/>
    <x v="0"/>
    <x v="49"/>
    <x v="208"/>
    <x v="0"/>
    <x v="208"/>
    <x v="1"/>
    <x v="0"/>
    <x v="1"/>
    <x v="0"/>
    <x v="2"/>
    <x v="2"/>
  </r>
  <r>
    <x v="210"/>
    <x v="23"/>
    <x v="3"/>
    <x v="2"/>
    <x v="46"/>
    <x v="3"/>
    <x v="5"/>
    <x v="2"/>
    <x v="1"/>
    <x v="0"/>
    <x v="10"/>
    <x v="209"/>
    <x v="0"/>
    <x v="209"/>
    <x v="2"/>
    <x v="2"/>
    <x v="0"/>
    <x v="1"/>
    <x v="0"/>
    <x v="2"/>
  </r>
  <r>
    <x v="211"/>
    <x v="26"/>
    <x v="4"/>
    <x v="0"/>
    <x v="23"/>
    <x v="1"/>
    <x v="4"/>
    <x v="3"/>
    <x v="1"/>
    <x v="2"/>
    <x v="4"/>
    <x v="210"/>
    <x v="1"/>
    <x v="210"/>
    <x v="1"/>
    <x v="1"/>
    <x v="1"/>
    <x v="0"/>
    <x v="0"/>
    <x v="1"/>
  </r>
  <r>
    <x v="212"/>
    <x v="164"/>
    <x v="3"/>
    <x v="2"/>
    <x v="32"/>
    <x v="2"/>
    <x v="1"/>
    <x v="0"/>
    <x v="1"/>
    <x v="1"/>
    <x v="25"/>
    <x v="211"/>
    <x v="0"/>
    <x v="211"/>
    <x v="2"/>
    <x v="0"/>
    <x v="0"/>
    <x v="1"/>
    <x v="2"/>
    <x v="0"/>
  </r>
  <r>
    <x v="213"/>
    <x v="165"/>
    <x v="4"/>
    <x v="3"/>
    <x v="43"/>
    <x v="2"/>
    <x v="1"/>
    <x v="0"/>
    <x v="0"/>
    <x v="3"/>
    <x v="34"/>
    <x v="212"/>
    <x v="0"/>
    <x v="212"/>
    <x v="2"/>
    <x v="2"/>
    <x v="0"/>
    <x v="0"/>
    <x v="0"/>
    <x v="2"/>
  </r>
  <r>
    <x v="214"/>
    <x v="166"/>
    <x v="1"/>
    <x v="1"/>
    <x v="31"/>
    <x v="1"/>
    <x v="5"/>
    <x v="2"/>
    <x v="4"/>
    <x v="3"/>
    <x v="20"/>
    <x v="213"/>
    <x v="0"/>
    <x v="213"/>
    <x v="0"/>
    <x v="1"/>
    <x v="0"/>
    <x v="0"/>
    <x v="1"/>
    <x v="0"/>
  </r>
  <r>
    <x v="215"/>
    <x v="167"/>
    <x v="3"/>
    <x v="0"/>
    <x v="41"/>
    <x v="2"/>
    <x v="1"/>
    <x v="3"/>
    <x v="1"/>
    <x v="3"/>
    <x v="17"/>
    <x v="197"/>
    <x v="0"/>
    <x v="214"/>
    <x v="0"/>
    <x v="1"/>
    <x v="0"/>
    <x v="1"/>
    <x v="2"/>
    <x v="0"/>
  </r>
  <r>
    <x v="216"/>
    <x v="168"/>
    <x v="0"/>
    <x v="2"/>
    <x v="11"/>
    <x v="2"/>
    <x v="1"/>
    <x v="0"/>
    <x v="3"/>
    <x v="0"/>
    <x v="38"/>
    <x v="214"/>
    <x v="0"/>
    <x v="215"/>
    <x v="0"/>
    <x v="2"/>
    <x v="1"/>
    <x v="1"/>
    <x v="1"/>
    <x v="2"/>
  </r>
  <r>
    <x v="217"/>
    <x v="148"/>
    <x v="2"/>
    <x v="1"/>
    <x v="23"/>
    <x v="1"/>
    <x v="2"/>
    <x v="3"/>
    <x v="2"/>
    <x v="1"/>
    <x v="21"/>
    <x v="215"/>
    <x v="1"/>
    <x v="216"/>
    <x v="0"/>
    <x v="1"/>
    <x v="0"/>
    <x v="1"/>
    <x v="1"/>
    <x v="0"/>
  </r>
  <r>
    <x v="218"/>
    <x v="36"/>
    <x v="2"/>
    <x v="3"/>
    <x v="16"/>
    <x v="2"/>
    <x v="4"/>
    <x v="1"/>
    <x v="1"/>
    <x v="1"/>
    <x v="46"/>
    <x v="216"/>
    <x v="0"/>
    <x v="217"/>
    <x v="2"/>
    <x v="2"/>
    <x v="0"/>
    <x v="0"/>
    <x v="4"/>
    <x v="2"/>
  </r>
  <r>
    <x v="219"/>
    <x v="55"/>
    <x v="3"/>
    <x v="3"/>
    <x v="14"/>
    <x v="1"/>
    <x v="4"/>
    <x v="1"/>
    <x v="2"/>
    <x v="3"/>
    <x v="36"/>
    <x v="217"/>
    <x v="2"/>
    <x v="218"/>
    <x v="0"/>
    <x v="0"/>
    <x v="0"/>
    <x v="1"/>
    <x v="3"/>
    <x v="1"/>
  </r>
  <r>
    <x v="220"/>
    <x v="169"/>
    <x v="3"/>
    <x v="4"/>
    <x v="35"/>
    <x v="2"/>
    <x v="3"/>
    <x v="1"/>
    <x v="1"/>
    <x v="0"/>
    <x v="49"/>
    <x v="218"/>
    <x v="2"/>
    <x v="219"/>
    <x v="0"/>
    <x v="0"/>
    <x v="1"/>
    <x v="1"/>
    <x v="3"/>
    <x v="0"/>
  </r>
  <r>
    <x v="221"/>
    <x v="107"/>
    <x v="0"/>
    <x v="4"/>
    <x v="14"/>
    <x v="0"/>
    <x v="5"/>
    <x v="2"/>
    <x v="3"/>
    <x v="2"/>
    <x v="5"/>
    <x v="219"/>
    <x v="0"/>
    <x v="220"/>
    <x v="1"/>
    <x v="1"/>
    <x v="0"/>
    <x v="1"/>
    <x v="4"/>
    <x v="1"/>
  </r>
  <r>
    <x v="222"/>
    <x v="146"/>
    <x v="0"/>
    <x v="4"/>
    <x v="21"/>
    <x v="3"/>
    <x v="5"/>
    <x v="0"/>
    <x v="1"/>
    <x v="1"/>
    <x v="29"/>
    <x v="220"/>
    <x v="0"/>
    <x v="221"/>
    <x v="2"/>
    <x v="0"/>
    <x v="1"/>
    <x v="0"/>
    <x v="2"/>
    <x v="2"/>
  </r>
  <r>
    <x v="223"/>
    <x v="170"/>
    <x v="2"/>
    <x v="3"/>
    <x v="25"/>
    <x v="1"/>
    <x v="5"/>
    <x v="0"/>
    <x v="0"/>
    <x v="1"/>
    <x v="13"/>
    <x v="221"/>
    <x v="1"/>
    <x v="222"/>
    <x v="0"/>
    <x v="2"/>
    <x v="1"/>
    <x v="1"/>
    <x v="2"/>
    <x v="2"/>
  </r>
  <r>
    <x v="224"/>
    <x v="171"/>
    <x v="4"/>
    <x v="0"/>
    <x v="45"/>
    <x v="3"/>
    <x v="5"/>
    <x v="0"/>
    <x v="3"/>
    <x v="3"/>
    <x v="7"/>
    <x v="222"/>
    <x v="1"/>
    <x v="223"/>
    <x v="2"/>
    <x v="2"/>
    <x v="1"/>
    <x v="1"/>
    <x v="2"/>
    <x v="2"/>
  </r>
  <r>
    <x v="225"/>
    <x v="172"/>
    <x v="0"/>
    <x v="4"/>
    <x v="43"/>
    <x v="1"/>
    <x v="3"/>
    <x v="0"/>
    <x v="0"/>
    <x v="1"/>
    <x v="0"/>
    <x v="223"/>
    <x v="1"/>
    <x v="224"/>
    <x v="0"/>
    <x v="0"/>
    <x v="1"/>
    <x v="0"/>
    <x v="2"/>
    <x v="0"/>
  </r>
  <r>
    <x v="226"/>
    <x v="173"/>
    <x v="2"/>
    <x v="0"/>
    <x v="33"/>
    <x v="0"/>
    <x v="3"/>
    <x v="2"/>
    <x v="3"/>
    <x v="3"/>
    <x v="33"/>
    <x v="224"/>
    <x v="1"/>
    <x v="225"/>
    <x v="2"/>
    <x v="1"/>
    <x v="1"/>
    <x v="1"/>
    <x v="2"/>
    <x v="2"/>
  </r>
  <r>
    <x v="227"/>
    <x v="67"/>
    <x v="0"/>
    <x v="0"/>
    <x v="37"/>
    <x v="3"/>
    <x v="1"/>
    <x v="1"/>
    <x v="2"/>
    <x v="2"/>
    <x v="40"/>
    <x v="225"/>
    <x v="1"/>
    <x v="226"/>
    <x v="0"/>
    <x v="2"/>
    <x v="0"/>
    <x v="1"/>
    <x v="2"/>
    <x v="1"/>
  </r>
  <r>
    <x v="228"/>
    <x v="174"/>
    <x v="0"/>
    <x v="0"/>
    <x v="35"/>
    <x v="0"/>
    <x v="0"/>
    <x v="0"/>
    <x v="2"/>
    <x v="1"/>
    <x v="13"/>
    <x v="226"/>
    <x v="0"/>
    <x v="227"/>
    <x v="0"/>
    <x v="2"/>
    <x v="1"/>
    <x v="1"/>
    <x v="0"/>
    <x v="2"/>
  </r>
  <r>
    <x v="229"/>
    <x v="175"/>
    <x v="3"/>
    <x v="4"/>
    <x v="15"/>
    <x v="2"/>
    <x v="2"/>
    <x v="1"/>
    <x v="2"/>
    <x v="1"/>
    <x v="32"/>
    <x v="227"/>
    <x v="2"/>
    <x v="228"/>
    <x v="0"/>
    <x v="2"/>
    <x v="0"/>
    <x v="0"/>
    <x v="3"/>
    <x v="0"/>
  </r>
  <r>
    <x v="230"/>
    <x v="43"/>
    <x v="0"/>
    <x v="4"/>
    <x v="16"/>
    <x v="3"/>
    <x v="1"/>
    <x v="1"/>
    <x v="0"/>
    <x v="2"/>
    <x v="31"/>
    <x v="228"/>
    <x v="3"/>
    <x v="229"/>
    <x v="1"/>
    <x v="2"/>
    <x v="1"/>
    <x v="1"/>
    <x v="2"/>
    <x v="1"/>
  </r>
  <r>
    <x v="231"/>
    <x v="67"/>
    <x v="3"/>
    <x v="4"/>
    <x v="45"/>
    <x v="2"/>
    <x v="5"/>
    <x v="1"/>
    <x v="2"/>
    <x v="0"/>
    <x v="21"/>
    <x v="229"/>
    <x v="0"/>
    <x v="230"/>
    <x v="0"/>
    <x v="0"/>
    <x v="0"/>
    <x v="1"/>
    <x v="0"/>
    <x v="0"/>
  </r>
  <r>
    <x v="232"/>
    <x v="115"/>
    <x v="2"/>
    <x v="2"/>
    <x v="23"/>
    <x v="1"/>
    <x v="4"/>
    <x v="0"/>
    <x v="3"/>
    <x v="1"/>
    <x v="27"/>
    <x v="230"/>
    <x v="3"/>
    <x v="231"/>
    <x v="1"/>
    <x v="2"/>
    <x v="0"/>
    <x v="0"/>
    <x v="4"/>
    <x v="1"/>
  </r>
  <r>
    <x v="233"/>
    <x v="4"/>
    <x v="2"/>
    <x v="3"/>
    <x v="46"/>
    <x v="1"/>
    <x v="0"/>
    <x v="3"/>
    <x v="4"/>
    <x v="1"/>
    <x v="14"/>
    <x v="231"/>
    <x v="1"/>
    <x v="232"/>
    <x v="0"/>
    <x v="0"/>
    <x v="1"/>
    <x v="1"/>
    <x v="0"/>
    <x v="2"/>
  </r>
  <r>
    <x v="234"/>
    <x v="176"/>
    <x v="2"/>
    <x v="0"/>
    <x v="42"/>
    <x v="2"/>
    <x v="1"/>
    <x v="1"/>
    <x v="0"/>
    <x v="0"/>
    <x v="0"/>
    <x v="232"/>
    <x v="2"/>
    <x v="233"/>
    <x v="1"/>
    <x v="2"/>
    <x v="0"/>
    <x v="0"/>
    <x v="0"/>
    <x v="2"/>
  </r>
  <r>
    <x v="235"/>
    <x v="102"/>
    <x v="1"/>
    <x v="2"/>
    <x v="46"/>
    <x v="2"/>
    <x v="5"/>
    <x v="2"/>
    <x v="3"/>
    <x v="3"/>
    <x v="25"/>
    <x v="233"/>
    <x v="0"/>
    <x v="234"/>
    <x v="2"/>
    <x v="0"/>
    <x v="1"/>
    <x v="1"/>
    <x v="4"/>
    <x v="1"/>
  </r>
  <r>
    <x v="236"/>
    <x v="177"/>
    <x v="2"/>
    <x v="3"/>
    <x v="15"/>
    <x v="2"/>
    <x v="0"/>
    <x v="0"/>
    <x v="0"/>
    <x v="1"/>
    <x v="25"/>
    <x v="234"/>
    <x v="0"/>
    <x v="235"/>
    <x v="1"/>
    <x v="0"/>
    <x v="0"/>
    <x v="1"/>
    <x v="3"/>
    <x v="2"/>
  </r>
  <r>
    <x v="237"/>
    <x v="137"/>
    <x v="0"/>
    <x v="2"/>
    <x v="5"/>
    <x v="1"/>
    <x v="3"/>
    <x v="1"/>
    <x v="2"/>
    <x v="0"/>
    <x v="17"/>
    <x v="235"/>
    <x v="0"/>
    <x v="236"/>
    <x v="0"/>
    <x v="0"/>
    <x v="1"/>
    <x v="1"/>
    <x v="4"/>
    <x v="2"/>
  </r>
  <r>
    <x v="238"/>
    <x v="178"/>
    <x v="3"/>
    <x v="4"/>
    <x v="4"/>
    <x v="1"/>
    <x v="0"/>
    <x v="1"/>
    <x v="3"/>
    <x v="3"/>
    <x v="17"/>
    <x v="236"/>
    <x v="0"/>
    <x v="237"/>
    <x v="2"/>
    <x v="1"/>
    <x v="1"/>
    <x v="0"/>
    <x v="3"/>
    <x v="2"/>
  </r>
  <r>
    <x v="239"/>
    <x v="127"/>
    <x v="0"/>
    <x v="3"/>
    <x v="32"/>
    <x v="2"/>
    <x v="0"/>
    <x v="1"/>
    <x v="0"/>
    <x v="2"/>
    <x v="39"/>
    <x v="237"/>
    <x v="3"/>
    <x v="238"/>
    <x v="0"/>
    <x v="2"/>
    <x v="1"/>
    <x v="0"/>
    <x v="3"/>
    <x v="2"/>
  </r>
  <r>
    <x v="240"/>
    <x v="179"/>
    <x v="0"/>
    <x v="4"/>
    <x v="12"/>
    <x v="1"/>
    <x v="5"/>
    <x v="1"/>
    <x v="4"/>
    <x v="0"/>
    <x v="41"/>
    <x v="238"/>
    <x v="2"/>
    <x v="239"/>
    <x v="0"/>
    <x v="0"/>
    <x v="0"/>
    <x v="1"/>
    <x v="3"/>
    <x v="0"/>
  </r>
  <r>
    <x v="241"/>
    <x v="56"/>
    <x v="3"/>
    <x v="2"/>
    <x v="19"/>
    <x v="2"/>
    <x v="5"/>
    <x v="0"/>
    <x v="4"/>
    <x v="2"/>
    <x v="9"/>
    <x v="239"/>
    <x v="3"/>
    <x v="240"/>
    <x v="0"/>
    <x v="0"/>
    <x v="0"/>
    <x v="0"/>
    <x v="0"/>
    <x v="0"/>
  </r>
  <r>
    <x v="242"/>
    <x v="53"/>
    <x v="0"/>
    <x v="3"/>
    <x v="12"/>
    <x v="0"/>
    <x v="4"/>
    <x v="1"/>
    <x v="3"/>
    <x v="0"/>
    <x v="9"/>
    <x v="240"/>
    <x v="2"/>
    <x v="241"/>
    <x v="0"/>
    <x v="0"/>
    <x v="1"/>
    <x v="1"/>
    <x v="2"/>
    <x v="2"/>
  </r>
  <r>
    <x v="243"/>
    <x v="180"/>
    <x v="2"/>
    <x v="4"/>
    <x v="23"/>
    <x v="3"/>
    <x v="0"/>
    <x v="1"/>
    <x v="0"/>
    <x v="0"/>
    <x v="28"/>
    <x v="241"/>
    <x v="0"/>
    <x v="242"/>
    <x v="0"/>
    <x v="0"/>
    <x v="1"/>
    <x v="1"/>
    <x v="4"/>
    <x v="1"/>
  </r>
  <r>
    <x v="244"/>
    <x v="150"/>
    <x v="0"/>
    <x v="3"/>
    <x v="7"/>
    <x v="3"/>
    <x v="0"/>
    <x v="3"/>
    <x v="1"/>
    <x v="0"/>
    <x v="29"/>
    <x v="242"/>
    <x v="0"/>
    <x v="243"/>
    <x v="2"/>
    <x v="2"/>
    <x v="0"/>
    <x v="1"/>
    <x v="3"/>
    <x v="0"/>
  </r>
  <r>
    <x v="245"/>
    <x v="181"/>
    <x v="2"/>
    <x v="2"/>
    <x v="25"/>
    <x v="1"/>
    <x v="2"/>
    <x v="1"/>
    <x v="4"/>
    <x v="3"/>
    <x v="17"/>
    <x v="243"/>
    <x v="1"/>
    <x v="244"/>
    <x v="2"/>
    <x v="0"/>
    <x v="1"/>
    <x v="1"/>
    <x v="3"/>
    <x v="2"/>
  </r>
  <r>
    <x v="246"/>
    <x v="139"/>
    <x v="0"/>
    <x v="3"/>
    <x v="37"/>
    <x v="2"/>
    <x v="4"/>
    <x v="0"/>
    <x v="4"/>
    <x v="3"/>
    <x v="45"/>
    <x v="244"/>
    <x v="3"/>
    <x v="245"/>
    <x v="0"/>
    <x v="1"/>
    <x v="1"/>
    <x v="1"/>
    <x v="1"/>
    <x v="2"/>
  </r>
  <r>
    <x v="247"/>
    <x v="182"/>
    <x v="4"/>
    <x v="3"/>
    <x v="26"/>
    <x v="2"/>
    <x v="5"/>
    <x v="3"/>
    <x v="1"/>
    <x v="2"/>
    <x v="36"/>
    <x v="245"/>
    <x v="0"/>
    <x v="246"/>
    <x v="0"/>
    <x v="0"/>
    <x v="1"/>
    <x v="0"/>
    <x v="3"/>
    <x v="2"/>
  </r>
  <r>
    <x v="248"/>
    <x v="183"/>
    <x v="2"/>
    <x v="1"/>
    <x v="49"/>
    <x v="3"/>
    <x v="1"/>
    <x v="1"/>
    <x v="2"/>
    <x v="1"/>
    <x v="31"/>
    <x v="246"/>
    <x v="3"/>
    <x v="247"/>
    <x v="2"/>
    <x v="0"/>
    <x v="1"/>
    <x v="1"/>
    <x v="2"/>
    <x v="2"/>
  </r>
  <r>
    <x v="249"/>
    <x v="184"/>
    <x v="3"/>
    <x v="0"/>
    <x v="11"/>
    <x v="2"/>
    <x v="5"/>
    <x v="0"/>
    <x v="4"/>
    <x v="2"/>
    <x v="42"/>
    <x v="247"/>
    <x v="3"/>
    <x v="248"/>
    <x v="2"/>
    <x v="0"/>
    <x v="0"/>
    <x v="0"/>
    <x v="4"/>
    <x v="0"/>
  </r>
  <r>
    <x v="250"/>
    <x v="138"/>
    <x v="0"/>
    <x v="2"/>
    <x v="49"/>
    <x v="1"/>
    <x v="0"/>
    <x v="1"/>
    <x v="1"/>
    <x v="1"/>
    <x v="24"/>
    <x v="248"/>
    <x v="2"/>
    <x v="249"/>
    <x v="2"/>
    <x v="0"/>
    <x v="1"/>
    <x v="0"/>
    <x v="3"/>
    <x v="2"/>
  </r>
  <r>
    <x v="251"/>
    <x v="126"/>
    <x v="4"/>
    <x v="0"/>
    <x v="24"/>
    <x v="1"/>
    <x v="0"/>
    <x v="3"/>
    <x v="4"/>
    <x v="0"/>
    <x v="16"/>
    <x v="249"/>
    <x v="0"/>
    <x v="250"/>
    <x v="0"/>
    <x v="1"/>
    <x v="1"/>
    <x v="1"/>
    <x v="1"/>
    <x v="2"/>
  </r>
  <r>
    <x v="252"/>
    <x v="148"/>
    <x v="0"/>
    <x v="1"/>
    <x v="21"/>
    <x v="0"/>
    <x v="3"/>
    <x v="3"/>
    <x v="1"/>
    <x v="1"/>
    <x v="5"/>
    <x v="250"/>
    <x v="3"/>
    <x v="251"/>
    <x v="2"/>
    <x v="0"/>
    <x v="1"/>
    <x v="0"/>
    <x v="4"/>
    <x v="1"/>
  </r>
  <r>
    <x v="253"/>
    <x v="76"/>
    <x v="1"/>
    <x v="3"/>
    <x v="34"/>
    <x v="3"/>
    <x v="2"/>
    <x v="1"/>
    <x v="0"/>
    <x v="1"/>
    <x v="12"/>
    <x v="251"/>
    <x v="3"/>
    <x v="252"/>
    <x v="2"/>
    <x v="1"/>
    <x v="1"/>
    <x v="1"/>
    <x v="3"/>
    <x v="1"/>
  </r>
  <r>
    <x v="254"/>
    <x v="185"/>
    <x v="0"/>
    <x v="3"/>
    <x v="13"/>
    <x v="1"/>
    <x v="4"/>
    <x v="1"/>
    <x v="2"/>
    <x v="3"/>
    <x v="0"/>
    <x v="252"/>
    <x v="0"/>
    <x v="253"/>
    <x v="2"/>
    <x v="0"/>
    <x v="0"/>
    <x v="1"/>
    <x v="0"/>
    <x v="2"/>
  </r>
  <r>
    <x v="255"/>
    <x v="186"/>
    <x v="2"/>
    <x v="0"/>
    <x v="38"/>
    <x v="2"/>
    <x v="0"/>
    <x v="2"/>
    <x v="0"/>
    <x v="2"/>
    <x v="0"/>
    <x v="253"/>
    <x v="0"/>
    <x v="254"/>
    <x v="2"/>
    <x v="1"/>
    <x v="0"/>
    <x v="1"/>
    <x v="4"/>
    <x v="2"/>
  </r>
  <r>
    <x v="256"/>
    <x v="187"/>
    <x v="2"/>
    <x v="0"/>
    <x v="0"/>
    <x v="1"/>
    <x v="0"/>
    <x v="1"/>
    <x v="1"/>
    <x v="1"/>
    <x v="8"/>
    <x v="254"/>
    <x v="3"/>
    <x v="255"/>
    <x v="0"/>
    <x v="0"/>
    <x v="1"/>
    <x v="1"/>
    <x v="3"/>
    <x v="1"/>
  </r>
  <r>
    <x v="257"/>
    <x v="55"/>
    <x v="0"/>
    <x v="0"/>
    <x v="0"/>
    <x v="0"/>
    <x v="0"/>
    <x v="1"/>
    <x v="1"/>
    <x v="1"/>
    <x v="46"/>
    <x v="255"/>
    <x v="3"/>
    <x v="256"/>
    <x v="1"/>
    <x v="1"/>
    <x v="0"/>
    <x v="1"/>
    <x v="1"/>
    <x v="2"/>
  </r>
  <r>
    <x v="258"/>
    <x v="135"/>
    <x v="2"/>
    <x v="0"/>
    <x v="37"/>
    <x v="2"/>
    <x v="4"/>
    <x v="1"/>
    <x v="1"/>
    <x v="2"/>
    <x v="16"/>
    <x v="256"/>
    <x v="2"/>
    <x v="257"/>
    <x v="2"/>
    <x v="0"/>
    <x v="0"/>
    <x v="1"/>
    <x v="2"/>
    <x v="0"/>
  </r>
  <r>
    <x v="259"/>
    <x v="188"/>
    <x v="2"/>
    <x v="2"/>
    <x v="21"/>
    <x v="2"/>
    <x v="2"/>
    <x v="1"/>
    <x v="3"/>
    <x v="3"/>
    <x v="41"/>
    <x v="257"/>
    <x v="0"/>
    <x v="258"/>
    <x v="2"/>
    <x v="1"/>
    <x v="1"/>
    <x v="1"/>
    <x v="0"/>
    <x v="0"/>
  </r>
  <r>
    <x v="260"/>
    <x v="119"/>
    <x v="1"/>
    <x v="1"/>
    <x v="15"/>
    <x v="2"/>
    <x v="1"/>
    <x v="0"/>
    <x v="0"/>
    <x v="2"/>
    <x v="32"/>
    <x v="258"/>
    <x v="2"/>
    <x v="259"/>
    <x v="0"/>
    <x v="0"/>
    <x v="0"/>
    <x v="1"/>
    <x v="2"/>
    <x v="2"/>
  </r>
  <r>
    <x v="261"/>
    <x v="92"/>
    <x v="0"/>
    <x v="1"/>
    <x v="49"/>
    <x v="1"/>
    <x v="5"/>
    <x v="2"/>
    <x v="1"/>
    <x v="0"/>
    <x v="33"/>
    <x v="259"/>
    <x v="3"/>
    <x v="260"/>
    <x v="0"/>
    <x v="2"/>
    <x v="1"/>
    <x v="1"/>
    <x v="0"/>
    <x v="1"/>
  </r>
  <r>
    <x v="262"/>
    <x v="189"/>
    <x v="2"/>
    <x v="2"/>
    <x v="37"/>
    <x v="2"/>
    <x v="5"/>
    <x v="0"/>
    <x v="2"/>
    <x v="0"/>
    <x v="46"/>
    <x v="260"/>
    <x v="2"/>
    <x v="261"/>
    <x v="0"/>
    <x v="0"/>
    <x v="1"/>
    <x v="1"/>
    <x v="2"/>
    <x v="2"/>
  </r>
  <r>
    <x v="263"/>
    <x v="190"/>
    <x v="2"/>
    <x v="0"/>
    <x v="0"/>
    <x v="3"/>
    <x v="0"/>
    <x v="1"/>
    <x v="1"/>
    <x v="2"/>
    <x v="2"/>
    <x v="261"/>
    <x v="0"/>
    <x v="262"/>
    <x v="1"/>
    <x v="2"/>
    <x v="0"/>
    <x v="1"/>
    <x v="1"/>
    <x v="1"/>
  </r>
  <r>
    <x v="264"/>
    <x v="191"/>
    <x v="4"/>
    <x v="4"/>
    <x v="30"/>
    <x v="2"/>
    <x v="4"/>
    <x v="2"/>
    <x v="4"/>
    <x v="3"/>
    <x v="0"/>
    <x v="262"/>
    <x v="0"/>
    <x v="263"/>
    <x v="0"/>
    <x v="0"/>
    <x v="0"/>
    <x v="1"/>
    <x v="3"/>
    <x v="2"/>
  </r>
  <r>
    <x v="265"/>
    <x v="80"/>
    <x v="2"/>
    <x v="0"/>
    <x v="40"/>
    <x v="1"/>
    <x v="5"/>
    <x v="2"/>
    <x v="1"/>
    <x v="3"/>
    <x v="26"/>
    <x v="263"/>
    <x v="0"/>
    <x v="264"/>
    <x v="0"/>
    <x v="1"/>
    <x v="1"/>
    <x v="0"/>
    <x v="3"/>
    <x v="2"/>
  </r>
  <r>
    <x v="266"/>
    <x v="192"/>
    <x v="3"/>
    <x v="0"/>
    <x v="17"/>
    <x v="0"/>
    <x v="2"/>
    <x v="2"/>
    <x v="4"/>
    <x v="1"/>
    <x v="36"/>
    <x v="264"/>
    <x v="0"/>
    <x v="265"/>
    <x v="0"/>
    <x v="0"/>
    <x v="0"/>
    <x v="0"/>
    <x v="3"/>
    <x v="1"/>
  </r>
  <r>
    <x v="267"/>
    <x v="36"/>
    <x v="4"/>
    <x v="0"/>
    <x v="37"/>
    <x v="1"/>
    <x v="0"/>
    <x v="0"/>
    <x v="0"/>
    <x v="2"/>
    <x v="47"/>
    <x v="265"/>
    <x v="0"/>
    <x v="266"/>
    <x v="0"/>
    <x v="0"/>
    <x v="0"/>
    <x v="1"/>
    <x v="3"/>
    <x v="2"/>
  </r>
  <r>
    <x v="268"/>
    <x v="193"/>
    <x v="0"/>
    <x v="3"/>
    <x v="39"/>
    <x v="1"/>
    <x v="4"/>
    <x v="2"/>
    <x v="3"/>
    <x v="1"/>
    <x v="17"/>
    <x v="266"/>
    <x v="0"/>
    <x v="267"/>
    <x v="2"/>
    <x v="0"/>
    <x v="1"/>
    <x v="1"/>
    <x v="4"/>
    <x v="2"/>
  </r>
  <r>
    <x v="269"/>
    <x v="194"/>
    <x v="1"/>
    <x v="0"/>
    <x v="40"/>
    <x v="3"/>
    <x v="3"/>
    <x v="0"/>
    <x v="2"/>
    <x v="2"/>
    <x v="45"/>
    <x v="267"/>
    <x v="2"/>
    <x v="268"/>
    <x v="0"/>
    <x v="2"/>
    <x v="1"/>
    <x v="0"/>
    <x v="3"/>
    <x v="2"/>
  </r>
  <r>
    <x v="270"/>
    <x v="21"/>
    <x v="2"/>
    <x v="2"/>
    <x v="16"/>
    <x v="3"/>
    <x v="2"/>
    <x v="2"/>
    <x v="1"/>
    <x v="3"/>
    <x v="1"/>
    <x v="268"/>
    <x v="3"/>
    <x v="269"/>
    <x v="0"/>
    <x v="0"/>
    <x v="1"/>
    <x v="1"/>
    <x v="3"/>
    <x v="2"/>
  </r>
  <r>
    <x v="271"/>
    <x v="195"/>
    <x v="2"/>
    <x v="3"/>
    <x v="16"/>
    <x v="1"/>
    <x v="0"/>
    <x v="2"/>
    <x v="4"/>
    <x v="0"/>
    <x v="18"/>
    <x v="39"/>
    <x v="0"/>
    <x v="270"/>
    <x v="0"/>
    <x v="1"/>
    <x v="0"/>
    <x v="1"/>
    <x v="2"/>
    <x v="2"/>
  </r>
  <r>
    <x v="272"/>
    <x v="132"/>
    <x v="2"/>
    <x v="3"/>
    <x v="42"/>
    <x v="2"/>
    <x v="0"/>
    <x v="1"/>
    <x v="3"/>
    <x v="1"/>
    <x v="24"/>
    <x v="269"/>
    <x v="0"/>
    <x v="271"/>
    <x v="0"/>
    <x v="2"/>
    <x v="0"/>
    <x v="1"/>
    <x v="1"/>
    <x v="0"/>
  </r>
  <r>
    <x v="273"/>
    <x v="196"/>
    <x v="2"/>
    <x v="4"/>
    <x v="46"/>
    <x v="1"/>
    <x v="3"/>
    <x v="1"/>
    <x v="0"/>
    <x v="3"/>
    <x v="42"/>
    <x v="270"/>
    <x v="1"/>
    <x v="272"/>
    <x v="1"/>
    <x v="0"/>
    <x v="0"/>
    <x v="1"/>
    <x v="1"/>
    <x v="2"/>
  </r>
  <r>
    <x v="274"/>
    <x v="181"/>
    <x v="2"/>
    <x v="1"/>
    <x v="42"/>
    <x v="2"/>
    <x v="4"/>
    <x v="3"/>
    <x v="4"/>
    <x v="0"/>
    <x v="31"/>
    <x v="271"/>
    <x v="0"/>
    <x v="273"/>
    <x v="2"/>
    <x v="2"/>
    <x v="1"/>
    <x v="1"/>
    <x v="3"/>
    <x v="2"/>
  </r>
  <r>
    <x v="275"/>
    <x v="197"/>
    <x v="1"/>
    <x v="0"/>
    <x v="3"/>
    <x v="1"/>
    <x v="1"/>
    <x v="3"/>
    <x v="0"/>
    <x v="3"/>
    <x v="42"/>
    <x v="272"/>
    <x v="3"/>
    <x v="274"/>
    <x v="0"/>
    <x v="0"/>
    <x v="0"/>
    <x v="1"/>
    <x v="1"/>
    <x v="2"/>
  </r>
  <r>
    <x v="276"/>
    <x v="35"/>
    <x v="2"/>
    <x v="0"/>
    <x v="37"/>
    <x v="3"/>
    <x v="1"/>
    <x v="0"/>
    <x v="0"/>
    <x v="1"/>
    <x v="28"/>
    <x v="273"/>
    <x v="0"/>
    <x v="275"/>
    <x v="1"/>
    <x v="0"/>
    <x v="0"/>
    <x v="1"/>
    <x v="0"/>
    <x v="2"/>
  </r>
  <r>
    <x v="277"/>
    <x v="17"/>
    <x v="4"/>
    <x v="4"/>
    <x v="36"/>
    <x v="1"/>
    <x v="0"/>
    <x v="3"/>
    <x v="4"/>
    <x v="1"/>
    <x v="2"/>
    <x v="274"/>
    <x v="0"/>
    <x v="276"/>
    <x v="1"/>
    <x v="1"/>
    <x v="0"/>
    <x v="1"/>
    <x v="1"/>
    <x v="2"/>
  </r>
  <r>
    <x v="278"/>
    <x v="151"/>
    <x v="3"/>
    <x v="3"/>
    <x v="25"/>
    <x v="2"/>
    <x v="3"/>
    <x v="1"/>
    <x v="4"/>
    <x v="2"/>
    <x v="20"/>
    <x v="275"/>
    <x v="0"/>
    <x v="277"/>
    <x v="0"/>
    <x v="0"/>
    <x v="1"/>
    <x v="0"/>
    <x v="4"/>
    <x v="0"/>
  </r>
  <r>
    <x v="279"/>
    <x v="198"/>
    <x v="2"/>
    <x v="3"/>
    <x v="18"/>
    <x v="1"/>
    <x v="2"/>
    <x v="1"/>
    <x v="3"/>
    <x v="1"/>
    <x v="25"/>
    <x v="276"/>
    <x v="1"/>
    <x v="278"/>
    <x v="0"/>
    <x v="1"/>
    <x v="1"/>
    <x v="1"/>
    <x v="1"/>
    <x v="2"/>
  </r>
  <r>
    <x v="280"/>
    <x v="199"/>
    <x v="2"/>
    <x v="1"/>
    <x v="37"/>
    <x v="3"/>
    <x v="4"/>
    <x v="0"/>
    <x v="2"/>
    <x v="0"/>
    <x v="49"/>
    <x v="277"/>
    <x v="0"/>
    <x v="279"/>
    <x v="0"/>
    <x v="0"/>
    <x v="0"/>
    <x v="1"/>
    <x v="2"/>
    <x v="0"/>
  </r>
  <r>
    <x v="281"/>
    <x v="200"/>
    <x v="1"/>
    <x v="3"/>
    <x v="9"/>
    <x v="3"/>
    <x v="2"/>
    <x v="3"/>
    <x v="2"/>
    <x v="3"/>
    <x v="9"/>
    <x v="278"/>
    <x v="0"/>
    <x v="280"/>
    <x v="0"/>
    <x v="1"/>
    <x v="1"/>
    <x v="1"/>
    <x v="2"/>
    <x v="2"/>
  </r>
  <r>
    <x v="282"/>
    <x v="201"/>
    <x v="2"/>
    <x v="2"/>
    <x v="41"/>
    <x v="1"/>
    <x v="5"/>
    <x v="2"/>
    <x v="2"/>
    <x v="3"/>
    <x v="10"/>
    <x v="279"/>
    <x v="0"/>
    <x v="281"/>
    <x v="0"/>
    <x v="0"/>
    <x v="1"/>
    <x v="1"/>
    <x v="1"/>
    <x v="1"/>
  </r>
  <r>
    <x v="283"/>
    <x v="138"/>
    <x v="3"/>
    <x v="0"/>
    <x v="17"/>
    <x v="2"/>
    <x v="2"/>
    <x v="1"/>
    <x v="3"/>
    <x v="2"/>
    <x v="4"/>
    <x v="280"/>
    <x v="3"/>
    <x v="282"/>
    <x v="2"/>
    <x v="0"/>
    <x v="1"/>
    <x v="1"/>
    <x v="3"/>
    <x v="2"/>
  </r>
  <r>
    <x v="284"/>
    <x v="45"/>
    <x v="3"/>
    <x v="1"/>
    <x v="22"/>
    <x v="2"/>
    <x v="1"/>
    <x v="2"/>
    <x v="2"/>
    <x v="2"/>
    <x v="27"/>
    <x v="281"/>
    <x v="2"/>
    <x v="283"/>
    <x v="0"/>
    <x v="1"/>
    <x v="1"/>
    <x v="1"/>
    <x v="1"/>
    <x v="2"/>
  </r>
  <r>
    <x v="285"/>
    <x v="202"/>
    <x v="1"/>
    <x v="4"/>
    <x v="12"/>
    <x v="1"/>
    <x v="3"/>
    <x v="1"/>
    <x v="0"/>
    <x v="3"/>
    <x v="46"/>
    <x v="282"/>
    <x v="0"/>
    <x v="284"/>
    <x v="1"/>
    <x v="0"/>
    <x v="1"/>
    <x v="0"/>
    <x v="0"/>
    <x v="1"/>
  </r>
  <r>
    <x v="286"/>
    <x v="24"/>
    <x v="3"/>
    <x v="0"/>
    <x v="21"/>
    <x v="2"/>
    <x v="2"/>
    <x v="3"/>
    <x v="1"/>
    <x v="2"/>
    <x v="22"/>
    <x v="283"/>
    <x v="0"/>
    <x v="285"/>
    <x v="1"/>
    <x v="0"/>
    <x v="1"/>
    <x v="0"/>
    <x v="1"/>
    <x v="1"/>
  </r>
  <r>
    <x v="287"/>
    <x v="203"/>
    <x v="0"/>
    <x v="3"/>
    <x v="21"/>
    <x v="1"/>
    <x v="3"/>
    <x v="0"/>
    <x v="2"/>
    <x v="1"/>
    <x v="0"/>
    <x v="284"/>
    <x v="2"/>
    <x v="286"/>
    <x v="0"/>
    <x v="1"/>
    <x v="0"/>
    <x v="1"/>
    <x v="4"/>
    <x v="1"/>
  </r>
  <r>
    <x v="288"/>
    <x v="181"/>
    <x v="4"/>
    <x v="4"/>
    <x v="24"/>
    <x v="1"/>
    <x v="3"/>
    <x v="1"/>
    <x v="4"/>
    <x v="0"/>
    <x v="16"/>
    <x v="285"/>
    <x v="0"/>
    <x v="287"/>
    <x v="2"/>
    <x v="2"/>
    <x v="0"/>
    <x v="0"/>
    <x v="3"/>
    <x v="0"/>
  </r>
  <r>
    <x v="289"/>
    <x v="73"/>
    <x v="4"/>
    <x v="1"/>
    <x v="9"/>
    <x v="0"/>
    <x v="0"/>
    <x v="3"/>
    <x v="2"/>
    <x v="0"/>
    <x v="16"/>
    <x v="286"/>
    <x v="3"/>
    <x v="288"/>
    <x v="2"/>
    <x v="0"/>
    <x v="0"/>
    <x v="1"/>
    <x v="3"/>
    <x v="1"/>
  </r>
  <r>
    <x v="290"/>
    <x v="145"/>
    <x v="4"/>
    <x v="4"/>
    <x v="26"/>
    <x v="2"/>
    <x v="0"/>
    <x v="2"/>
    <x v="1"/>
    <x v="3"/>
    <x v="6"/>
    <x v="287"/>
    <x v="1"/>
    <x v="289"/>
    <x v="0"/>
    <x v="2"/>
    <x v="0"/>
    <x v="1"/>
    <x v="3"/>
    <x v="0"/>
  </r>
  <r>
    <x v="291"/>
    <x v="204"/>
    <x v="0"/>
    <x v="3"/>
    <x v="34"/>
    <x v="2"/>
    <x v="1"/>
    <x v="1"/>
    <x v="2"/>
    <x v="0"/>
    <x v="34"/>
    <x v="288"/>
    <x v="2"/>
    <x v="290"/>
    <x v="2"/>
    <x v="0"/>
    <x v="1"/>
    <x v="1"/>
    <x v="3"/>
    <x v="1"/>
  </r>
  <r>
    <x v="292"/>
    <x v="205"/>
    <x v="1"/>
    <x v="3"/>
    <x v="41"/>
    <x v="0"/>
    <x v="1"/>
    <x v="0"/>
    <x v="2"/>
    <x v="2"/>
    <x v="49"/>
    <x v="289"/>
    <x v="2"/>
    <x v="291"/>
    <x v="0"/>
    <x v="1"/>
    <x v="1"/>
    <x v="1"/>
    <x v="1"/>
    <x v="1"/>
  </r>
  <r>
    <x v="293"/>
    <x v="140"/>
    <x v="2"/>
    <x v="3"/>
    <x v="6"/>
    <x v="1"/>
    <x v="1"/>
    <x v="0"/>
    <x v="4"/>
    <x v="0"/>
    <x v="20"/>
    <x v="290"/>
    <x v="1"/>
    <x v="292"/>
    <x v="0"/>
    <x v="0"/>
    <x v="1"/>
    <x v="1"/>
    <x v="3"/>
    <x v="1"/>
  </r>
  <r>
    <x v="294"/>
    <x v="100"/>
    <x v="1"/>
    <x v="3"/>
    <x v="14"/>
    <x v="2"/>
    <x v="0"/>
    <x v="1"/>
    <x v="3"/>
    <x v="3"/>
    <x v="3"/>
    <x v="291"/>
    <x v="2"/>
    <x v="293"/>
    <x v="0"/>
    <x v="0"/>
    <x v="1"/>
    <x v="1"/>
    <x v="0"/>
    <x v="1"/>
  </r>
  <r>
    <x v="295"/>
    <x v="166"/>
    <x v="2"/>
    <x v="0"/>
    <x v="5"/>
    <x v="1"/>
    <x v="4"/>
    <x v="1"/>
    <x v="2"/>
    <x v="3"/>
    <x v="45"/>
    <x v="292"/>
    <x v="0"/>
    <x v="294"/>
    <x v="1"/>
    <x v="0"/>
    <x v="0"/>
    <x v="1"/>
    <x v="2"/>
    <x v="1"/>
  </r>
  <r>
    <x v="296"/>
    <x v="135"/>
    <x v="1"/>
    <x v="2"/>
    <x v="6"/>
    <x v="0"/>
    <x v="4"/>
    <x v="1"/>
    <x v="3"/>
    <x v="2"/>
    <x v="49"/>
    <x v="293"/>
    <x v="2"/>
    <x v="295"/>
    <x v="0"/>
    <x v="2"/>
    <x v="0"/>
    <x v="1"/>
    <x v="2"/>
    <x v="2"/>
  </r>
  <r>
    <x v="297"/>
    <x v="206"/>
    <x v="1"/>
    <x v="3"/>
    <x v="26"/>
    <x v="3"/>
    <x v="0"/>
    <x v="1"/>
    <x v="3"/>
    <x v="1"/>
    <x v="16"/>
    <x v="294"/>
    <x v="1"/>
    <x v="296"/>
    <x v="1"/>
    <x v="1"/>
    <x v="1"/>
    <x v="1"/>
    <x v="0"/>
    <x v="0"/>
  </r>
  <r>
    <x v="298"/>
    <x v="136"/>
    <x v="4"/>
    <x v="3"/>
    <x v="30"/>
    <x v="1"/>
    <x v="3"/>
    <x v="2"/>
    <x v="1"/>
    <x v="2"/>
    <x v="10"/>
    <x v="295"/>
    <x v="0"/>
    <x v="297"/>
    <x v="0"/>
    <x v="0"/>
    <x v="0"/>
    <x v="1"/>
    <x v="1"/>
    <x v="2"/>
  </r>
  <r>
    <x v="299"/>
    <x v="156"/>
    <x v="2"/>
    <x v="2"/>
    <x v="41"/>
    <x v="3"/>
    <x v="5"/>
    <x v="3"/>
    <x v="3"/>
    <x v="2"/>
    <x v="9"/>
    <x v="296"/>
    <x v="0"/>
    <x v="298"/>
    <x v="2"/>
    <x v="2"/>
    <x v="0"/>
    <x v="1"/>
    <x v="0"/>
    <x v="1"/>
  </r>
  <r>
    <x v="300"/>
    <x v="25"/>
    <x v="1"/>
    <x v="3"/>
    <x v="26"/>
    <x v="1"/>
    <x v="2"/>
    <x v="1"/>
    <x v="0"/>
    <x v="2"/>
    <x v="42"/>
    <x v="297"/>
    <x v="0"/>
    <x v="299"/>
    <x v="0"/>
    <x v="0"/>
    <x v="0"/>
    <x v="1"/>
    <x v="3"/>
    <x v="1"/>
  </r>
  <r>
    <x v="301"/>
    <x v="31"/>
    <x v="0"/>
    <x v="3"/>
    <x v="46"/>
    <x v="3"/>
    <x v="1"/>
    <x v="3"/>
    <x v="2"/>
    <x v="3"/>
    <x v="11"/>
    <x v="298"/>
    <x v="3"/>
    <x v="300"/>
    <x v="1"/>
    <x v="2"/>
    <x v="0"/>
    <x v="1"/>
    <x v="2"/>
    <x v="1"/>
  </r>
  <r>
    <x v="302"/>
    <x v="207"/>
    <x v="0"/>
    <x v="4"/>
    <x v="14"/>
    <x v="2"/>
    <x v="1"/>
    <x v="1"/>
    <x v="2"/>
    <x v="3"/>
    <x v="29"/>
    <x v="299"/>
    <x v="0"/>
    <x v="301"/>
    <x v="1"/>
    <x v="1"/>
    <x v="0"/>
    <x v="1"/>
    <x v="2"/>
    <x v="2"/>
  </r>
  <r>
    <x v="303"/>
    <x v="4"/>
    <x v="2"/>
    <x v="4"/>
    <x v="32"/>
    <x v="2"/>
    <x v="5"/>
    <x v="3"/>
    <x v="2"/>
    <x v="0"/>
    <x v="18"/>
    <x v="300"/>
    <x v="0"/>
    <x v="302"/>
    <x v="0"/>
    <x v="0"/>
    <x v="0"/>
    <x v="1"/>
    <x v="1"/>
    <x v="2"/>
  </r>
  <r>
    <x v="304"/>
    <x v="208"/>
    <x v="4"/>
    <x v="2"/>
    <x v="33"/>
    <x v="1"/>
    <x v="2"/>
    <x v="2"/>
    <x v="1"/>
    <x v="1"/>
    <x v="43"/>
    <x v="301"/>
    <x v="2"/>
    <x v="303"/>
    <x v="0"/>
    <x v="0"/>
    <x v="0"/>
    <x v="1"/>
    <x v="4"/>
    <x v="2"/>
  </r>
  <r>
    <x v="305"/>
    <x v="9"/>
    <x v="3"/>
    <x v="1"/>
    <x v="11"/>
    <x v="1"/>
    <x v="2"/>
    <x v="1"/>
    <x v="0"/>
    <x v="3"/>
    <x v="46"/>
    <x v="302"/>
    <x v="0"/>
    <x v="304"/>
    <x v="0"/>
    <x v="2"/>
    <x v="0"/>
    <x v="1"/>
    <x v="3"/>
    <x v="0"/>
  </r>
  <r>
    <x v="306"/>
    <x v="209"/>
    <x v="4"/>
    <x v="2"/>
    <x v="42"/>
    <x v="2"/>
    <x v="1"/>
    <x v="0"/>
    <x v="3"/>
    <x v="0"/>
    <x v="23"/>
    <x v="303"/>
    <x v="2"/>
    <x v="305"/>
    <x v="2"/>
    <x v="2"/>
    <x v="1"/>
    <x v="1"/>
    <x v="0"/>
    <x v="2"/>
  </r>
  <r>
    <x v="307"/>
    <x v="210"/>
    <x v="3"/>
    <x v="0"/>
    <x v="5"/>
    <x v="2"/>
    <x v="1"/>
    <x v="1"/>
    <x v="0"/>
    <x v="0"/>
    <x v="16"/>
    <x v="304"/>
    <x v="1"/>
    <x v="306"/>
    <x v="0"/>
    <x v="0"/>
    <x v="1"/>
    <x v="0"/>
    <x v="2"/>
    <x v="2"/>
  </r>
  <r>
    <x v="308"/>
    <x v="211"/>
    <x v="2"/>
    <x v="2"/>
    <x v="48"/>
    <x v="2"/>
    <x v="2"/>
    <x v="0"/>
    <x v="2"/>
    <x v="2"/>
    <x v="30"/>
    <x v="305"/>
    <x v="0"/>
    <x v="307"/>
    <x v="2"/>
    <x v="0"/>
    <x v="1"/>
    <x v="0"/>
    <x v="1"/>
    <x v="0"/>
  </r>
  <r>
    <x v="309"/>
    <x v="80"/>
    <x v="0"/>
    <x v="0"/>
    <x v="19"/>
    <x v="1"/>
    <x v="4"/>
    <x v="2"/>
    <x v="2"/>
    <x v="3"/>
    <x v="47"/>
    <x v="306"/>
    <x v="2"/>
    <x v="308"/>
    <x v="0"/>
    <x v="0"/>
    <x v="1"/>
    <x v="0"/>
    <x v="2"/>
    <x v="1"/>
  </r>
  <r>
    <x v="310"/>
    <x v="69"/>
    <x v="0"/>
    <x v="4"/>
    <x v="39"/>
    <x v="2"/>
    <x v="0"/>
    <x v="1"/>
    <x v="0"/>
    <x v="0"/>
    <x v="19"/>
    <x v="307"/>
    <x v="1"/>
    <x v="309"/>
    <x v="2"/>
    <x v="0"/>
    <x v="0"/>
    <x v="1"/>
    <x v="2"/>
    <x v="2"/>
  </r>
  <r>
    <x v="311"/>
    <x v="162"/>
    <x v="0"/>
    <x v="3"/>
    <x v="10"/>
    <x v="1"/>
    <x v="5"/>
    <x v="2"/>
    <x v="1"/>
    <x v="0"/>
    <x v="4"/>
    <x v="308"/>
    <x v="2"/>
    <x v="310"/>
    <x v="2"/>
    <x v="0"/>
    <x v="0"/>
    <x v="0"/>
    <x v="2"/>
    <x v="0"/>
  </r>
  <r>
    <x v="312"/>
    <x v="26"/>
    <x v="2"/>
    <x v="4"/>
    <x v="6"/>
    <x v="3"/>
    <x v="5"/>
    <x v="0"/>
    <x v="1"/>
    <x v="0"/>
    <x v="39"/>
    <x v="309"/>
    <x v="2"/>
    <x v="311"/>
    <x v="0"/>
    <x v="0"/>
    <x v="0"/>
    <x v="1"/>
    <x v="1"/>
    <x v="2"/>
  </r>
  <r>
    <x v="313"/>
    <x v="212"/>
    <x v="1"/>
    <x v="0"/>
    <x v="20"/>
    <x v="2"/>
    <x v="2"/>
    <x v="2"/>
    <x v="0"/>
    <x v="2"/>
    <x v="13"/>
    <x v="310"/>
    <x v="2"/>
    <x v="312"/>
    <x v="0"/>
    <x v="1"/>
    <x v="1"/>
    <x v="1"/>
    <x v="0"/>
    <x v="0"/>
  </r>
  <r>
    <x v="314"/>
    <x v="21"/>
    <x v="1"/>
    <x v="0"/>
    <x v="15"/>
    <x v="1"/>
    <x v="5"/>
    <x v="1"/>
    <x v="2"/>
    <x v="3"/>
    <x v="34"/>
    <x v="311"/>
    <x v="3"/>
    <x v="313"/>
    <x v="0"/>
    <x v="1"/>
    <x v="1"/>
    <x v="1"/>
    <x v="0"/>
    <x v="1"/>
  </r>
  <r>
    <x v="315"/>
    <x v="124"/>
    <x v="0"/>
    <x v="0"/>
    <x v="13"/>
    <x v="3"/>
    <x v="0"/>
    <x v="1"/>
    <x v="4"/>
    <x v="1"/>
    <x v="19"/>
    <x v="312"/>
    <x v="0"/>
    <x v="314"/>
    <x v="2"/>
    <x v="0"/>
    <x v="1"/>
    <x v="0"/>
    <x v="2"/>
    <x v="2"/>
  </r>
  <r>
    <x v="316"/>
    <x v="213"/>
    <x v="0"/>
    <x v="3"/>
    <x v="20"/>
    <x v="2"/>
    <x v="4"/>
    <x v="3"/>
    <x v="2"/>
    <x v="2"/>
    <x v="4"/>
    <x v="313"/>
    <x v="2"/>
    <x v="315"/>
    <x v="1"/>
    <x v="2"/>
    <x v="0"/>
    <x v="1"/>
    <x v="4"/>
    <x v="1"/>
  </r>
  <r>
    <x v="317"/>
    <x v="214"/>
    <x v="2"/>
    <x v="1"/>
    <x v="46"/>
    <x v="2"/>
    <x v="3"/>
    <x v="0"/>
    <x v="1"/>
    <x v="2"/>
    <x v="10"/>
    <x v="314"/>
    <x v="1"/>
    <x v="316"/>
    <x v="0"/>
    <x v="0"/>
    <x v="1"/>
    <x v="0"/>
    <x v="3"/>
    <x v="1"/>
  </r>
  <r>
    <x v="318"/>
    <x v="215"/>
    <x v="2"/>
    <x v="2"/>
    <x v="39"/>
    <x v="2"/>
    <x v="2"/>
    <x v="1"/>
    <x v="1"/>
    <x v="1"/>
    <x v="39"/>
    <x v="315"/>
    <x v="0"/>
    <x v="317"/>
    <x v="1"/>
    <x v="2"/>
    <x v="0"/>
    <x v="1"/>
    <x v="2"/>
    <x v="1"/>
  </r>
  <r>
    <x v="319"/>
    <x v="216"/>
    <x v="0"/>
    <x v="1"/>
    <x v="38"/>
    <x v="2"/>
    <x v="5"/>
    <x v="0"/>
    <x v="0"/>
    <x v="0"/>
    <x v="47"/>
    <x v="316"/>
    <x v="2"/>
    <x v="318"/>
    <x v="0"/>
    <x v="0"/>
    <x v="1"/>
    <x v="1"/>
    <x v="4"/>
    <x v="1"/>
  </r>
  <r>
    <x v="320"/>
    <x v="107"/>
    <x v="3"/>
    <x v="3"/>
    <x v="21"/>
    <x v="3"/>
    <x v="5"/>
    <x v="1"/>
    <x v="0"/>
    <x v="3"/>
    <x v="20"/>
    <x v="317"/>
    <x v="0"/>
    <x v="319"/>
    <x v="2"/>
    <x v="0"/>
    <x v="0"/>
    <x v="1"/>
    <x v="0"/>
    <x v="1"/>
  </r>
  <r>
    <x v="321"/>
    <x v="217"/>
    <x v="0"/>
    <x v="0"/>
    <x v="3"/>
    <x v="0"/>
    <x v="5"/>
    <x v="0"/>
    <x v="2"/>
    <x v="0"/>
    <x v="35"/>
    <x v="318"/>
    <x v="0"/>
    <x v="320"/>
    <x v="0"/>
    <x v="1"/>
    <x v="1"/>
    <x v="1"/>
    <x v="2"/>
    <x v="0"/>
  </r>
  <r>
    <x v="322"/>
    <x v="108"/>
    <x v="0"/>
    <x v="3"/>
    <x v="22"/>
    <x v="3"/>
    <x v="3"/>
    <x v="3"/>
    <x v="4"/>
    <x v="2"/>
    <x v="0"/>
    <x v="319"/>
    <x v="1"/>
    <x v="321"/>
    <x v="0"/>
    <x v="1"/>
    <x v="1"/>
    <x v="1"/>
    <x v="4"/>
    <x v="1"/>
  </r>
  <r>
    <x v="323"/>
    <x v="184"/>
    <x v="2"/>
    <x v="1"/>
    <x v="21"/>
    <x v="2"/>
    <x v="1"/>
    <x v="2"/>
    <x v="2"/>
    <x v="2"/>
    <x v="9"/>
    <x v="320"/>
    <x v="1"/>
    <x v="322"/>
    <x v="2"/>
    <x v="1"/>
    <x v="1"/>
    <x v="1"/>
    <x v="3"/>
    <x v="1"/>
  </r>
  <r>
    <x v="324"/>
    <x v="218"/>
    <x v="4"/>
    <x v="4"/>
    <x v="15"/>
    <x v="2"/>
    <x v="2"/>
    <x v="1"/>
    <x v="3"/>
    <x v="0"/>
    <x v="39"/>
    <x v="321"/>
    <x v="3"/>
    <x v="323"/>
    <x v="0"/>
    <x v="2"/>
    <x v="1"/>
    <x v="0"/>
    <x v="2"/>
    <x v="2"/>
  </r>
  <r>
    <x v="325"/>
    <x v="180"/>
    <x v="2"/>
    <x v="2"/>
    <x v="22"/>
    <x v="1"/>
    <x v="3"/>
    <x v="1"/>
    <x v="2"/>
    <x v="1"/>
    <x v="35"/>
    <x v="322"/>
    <x v="3"/>
    <x v="324"/>
    <x v="1"/>
    <x v="1"/>
    <x v="0"/>
    <x v="1"/>
    <x v="3"/>
    <x v="0"/>
  </r>
  <r>
    <x v="326"/>
    <x v="1"/>
    <x v="3"/>
    <x v="3"/>
    <x v="40"/>
    <x v="2"/>
    <x v="3"/>
    <x v="3"/>
    <x v="2"/>
    <x v="1"/>
    <x v="25"/>
    <x v="93"/>
    <x v="3"/>
    <x v="325"/>
    <x v="0"/>
    <x v="1"/>
    <x v="1"/>
    <x v="1"/>
    <x v="2"/>
    <x v="2"/>
  </r>
  <r>
    <x v="327"/>
    <x v="219"/>
    <x v="0"/>
    <x v="2"/>
    <x v="44"/>
    <x v="3"/>
    <x v="3"/>
    <x v="3"/>
    <x v="4"/>
    <x v="0"/>
    <x v="27"/>
    <x v="323"/>
    <x v="1"/>
    <x v="326"/>
    <x v="0"/>
    <x v="0"/>
    <x v="1"/>
    <x v="1"/>
    <x v="2"/>
    <x v="2"/>
  </r>
  <r>
    <x v="328"/>
    <x v="220"/>
    <x v="2"/>
    <x v="0"/>
    <x v="2"/>
    <x v="2"/>
    <x v="1"/>
    <x v="1"/>
    <x v="4"/>
    <x v="2"/>
    <x v="4"/>
    <x v="324"/>
    <x v="3"/>
    <x v="327"/>
    <x v="1"/>
    <x v="1"/>
    <x v="0"/>
    <x v="1"/>
    <x v="2"/>
    <x v="2"/>
  </r>
  <r>
    <x v="329"/>
    <x v="168"/>
    <x v="2"/>
    <x v="1"/>
    <x v="26"/>
    <x v="1"/>
    <x v="5"/>
    <x v="0"/>
    <x v="1"/>
    <x v="2"/>
    <x v="26"/>
    <x v="325"/>
    <x v="3"/>
    <x v="328"/>
    <x v="0"/>
    <x v="0"/>
    <x v="0"/>
    <x v="1"/>
    <x v="4"/>
    <x v="1"/>
  </r>
  <r>
    <x v="330"/>
    <x v="85"/>
    <x v="4"/>
    <x v="1"/>
    <x v="29"/>
    <x v="3"/>
    <x v="0"/>
    <x v="0"/>
    <x v="1"/>
    <x v="1"/>
    <x v="19"/>
    <x v="326"/>
    <x v="0"/>
    <x v="329"/>
    <x v="1"/>
    <x v="1"/>
    <x v="1"/>
    <x v="0"/>
    <x v="2"/>
    <x v="2"/>
  </r>
  <r>
    <x v="331"/>
    <x v="144"/>
    <x v="0"/>
    <x v="1"/>
    <x v="48"/>
    <x v="2"/>
    <x v="2"/>
    <x v="3"/>
    <x v="1"/>
    <x v="2"/>
    <x v="42"/>
    <x v="327"/>
    <x v="3"/>
    <x v="330"/>
    <x v="0"/>
    <x v="2"/>
    <x v="1"/>
    <x v="1"/>
    <x v="3"/>
    <x v="2"/>
  </r>
  <r>
    <x v="332"/>
    <x v="221"/>
    <x v="2"/>
    <x v="4"/>
    <x v="44"/>
    <x v="1"/>
    <x v="0"/>
    <x v="2"/>
    <x v="0"/>
    <x v="0"/>
    <x v="36"/>
    <x v="328"/>
    <x v="2"/>
    <x v="331"/>
    <x v="1"/>
    <x v="2"/>
    <x v="0"/>
    <x v="1"/>
    <x v="2"/>
    <x v="2"/>
  </r>
  <r>
    <x v="333"/>
    <x v="222"/>
    <x v="4"/>
    <x v="4"/>
    <x v="1"/>
    <x v="0"/>
    <x v="0"/>
    <x v="1"/>
    <x v="0"/>
    <x v="1"/>
    <x v="4"/>
    <x v="329"/>
    <x v="3"/>
    <x v="332"/>
    <x v="0"/>
    <x v="1"/>
    <x v="0"/>
    <x v="1"/>
    <x v="3"/>
    <x v="2"/>
  </r>
  <r>
    <x v="334"/>
    <x v="63"/>
    <x v="2"/>
    <x v="0"/>
    <x v="8"/>
    <x v="1"/>
    <x v="2"/>
    <x v="1"/>
    <x v="3"/>
    <x v="0"/>
    <x v="24"/>
    <x v="330"/>
    <x v="0"/>
    <x v="333"/>
    <x v="0"/>
    <x v="0"/>
    <x v="0"/>
    <x v="1"/>
    <x v="2"/>
    <x v="1"/>
  </r>
  <r>
    <x v="335"/>
    <x v="223"/>
    <x v="0"/>
    <x v="2"/>
    <x v="35"/>
    <x v="2"/>
    <x v="0"/>
    <x v="3"/>
    <x v="2"/>
    <x v="0"/>
    <x v="45"/>
    <x v="331"/>
    <x v="0"/>
    <x v="334"/>
    <x v="0"/>
    <x v="1"/>
    <x v="1"/>
    <x v="1"/>
    <x v="4"/>
    <x v="2"/>
  </r>
  <r>
    <x v="336"/>
    <x v="188"/>
    <x v="2"/>
    <x v="1"/>
    <x v="40"/>
    <x v="0"/>
    <x v="4"/>
    <x v="3"/>
    <x v="0"/>
    <x v="0"/>
    <x v="42"/>
    <x v="332"/>
    <x v="3"/>
    <x v="335"/>
    <x v="2"/>
    <x v="1"/>
    <x v="0"/>
    <x v="0"/>
    <x v="2"/>
    <x v="1"/>
  </r>
  <r>
    <x v="337"/>
    <x v="148"/>
    <x v="2"/>
    <x v="0"/>
    <x v="22"/>
    <x v="0"/>
    <x v="0"/>
    <x v="0"/>
    <x v="3"/>
    <x v="3"/>
    <x v="17"/>
    <x v="188"/>
    <x v="1"/>
    <x v="336"/>
    <x v="1"/>
    <x v="0"/>
    <x v="1"/>
    <x v="1"/>
    <x v="1"/>
    <x v="2"/>
  </r>
  <r>
    <x v="338"/>
    <x v="224"/>
    <x v="1"/>
    <x v="2"/>
    <x v="11"/>
    <x v="1"/>
    <x v="0"/>
    <x v="0"/>
    <x v="0"/>
    <x v="1"/>
    <x v="43"/>
    <x v="333"/>
    <x v="0"/>
    <x v="337"/>
    <x v="1"/>
    <x v="0"/>
    <x v="1"/>
    <x v="1"/>
    <x v="3"/>
    <x v="0"/>
  </r>
  <r>
    <x v="339"/>
    <x v="225"/>
    <x v="0"/>
    <x v="1"/>
    <x v="47"/>
    <x v="3"/>
    <x v="5"/>
    <x v="0"/>
    <x v="3"/>
    <x v="1"/>
    <x v="25"/>
    <x v="334"/>
    <x v="3"/>
    <x v="338"/>
    <x v="0"/>
    <x v="0"/>
    <x v="0"/>
    <x v="1"/>
    <x v="2"/>
    <x v="1"/>
  </r>
  <r>
    <x v="340"/>
    <x v="226"/>
    <x v="2"/>
    <x v="3"/>
    <x v="32"/>
    <x v="1"/>
    <x v="0"/>
    <x v="1"/>
    <x v="2"/>
    <x v="2"/>
    <x v="7"/>
    <x v="335"/>
    <x v="2"/>
    <x v="339"/>
    <x v="1"/>
    <x v="1"/>
    <x v="0"/>
    <x v="1"/>
    <x v="0"/>
    <x v="2"/>
  </r>
  <r>
    <x v="341"/>
    <x v="118"/>
    <x v="1"/>
    <x v="3"/>
    <x v="21"/>
    <x v="2"/>
    <x v="2"/>
    <x v="2"/>
    <x v="0"/>
    <x v="3"/>
    <x v="19"/>
    <x v="336"/>
    <x v="2"/>
    <x v="340"/>
    <x v="1"/>
    <x v="1"/>
    <x v="0"/>
    <x v="1"/>
    <x v="0"/>
    <x v="1"/>
  </r>
  <r>
    <x v="342"/>
    <x v="128"/>
    <x v="2"/>
    <x v="0"/>
    <x v="38"/>
    <x v="1"/>
    <x v="0"/>
    <x v="1"/>
    <x v="0"/>
    <x v="3"/>
    <x v="14"/>
    <x v="337"/>
    <x v="3"/>
    <x v="341"/>
    <x v="0"/>
    <x v="1"/>
    <x v="1"/>
    <x v="1"/>
    <x v="0"/>
    <x v="2"/>
  </r>
  <r>
    <x v="343"/>
    <x v="74"/>
    <x v="4"/>
    <x v="1"/>
    <x v="0"/>
    <x v="1"/>
    <x v="3"/>
    <x v="1"/>
    <x v="2"/>
    <x v="0"/>
    <x v="39"/>
    <x v="338"/>
    <x v="1"/>
    <x v="342"/>
    <x v="0"/>
    <x v="1"/>
    <x v="1"/>
    <x v="1"/>
    <x v="0"/>
    <x v="2"/>
  </r>
  <r>
    <x v="344"/>
    <x v="227"/>
    <x v="2"/>
    <x v="0"/>
    <x v="43"/>
    <x v="1"/>
    <x v="1"/>
    <x v="3"/>
    <x v="1"/>
    <x v="2"/>
    <x v="27"/>
    <x v="339"/>
    <x v="1"/>
    <x v="343"/>
    <x v="1"/>
    <x v="0"/>
    <x v="0"/>
    <x v="1"/>
    <x v="0"/>
    <x v="0"/>
  </r>
  <r>
    <x v="345"/>
    <x v="31"/>
    <x v="2"/>
    <x v="0"/>
    <x v="11"/>
    <x v="2"/>
    <x v="2"/>
    <x v="1"/>
    <x v="4"/>
    <x v="1"/>
    <x v="27"/>
    <x v="340"/>
    <x v="0"/>
    <x v="344"/>
    <x v="1"/>
    <x v="0"/>
    <x v="1"/>
    <x v="1"/>
    <x v="4"/>
    <x v="2"/>
  </r>
  <r>
    <x v="346"/>
    <x v="45"/>
    <x v="4"/>
    <x v="1"/>
    <x v="28"/>
    <x v="1"/>
    <x v="4"/>
    <x v="1"/>
    <x v="3"/>
    <x v="2"/>
    <x v="34"/>
    <x v="341"/>
    <x v="2"/>
    <x v="345"/>
    <x v="0"/>
    <x v="0"/>
    <x v="0"/>
    <x v="1"/>
    <x v="4"/>
    <x v="1"/>
  </r>
  <r>
    <x v="347"/>
    <x v="85"/>
    <x v="1"/>
    <x v="0"/>
    <x v="2"/>
    <x v="3"/>
    <x v="3"/>
    <x v="1"/>
    <x v="0"/>
    <x v="3"/>
    <x v="16"/>
    <x v="342"/>
    <x v="2"/>
    <x v="346"/>
    <x v="2"/>
    <x v="1"/>
    <x v="1"/>
    <x v="0"/>
    <x v="1"/>
    <x v="2"/>
  </r>
  <r>
    <x v="348"/>
    <x v="228"/>
    <x v="3"/>
    <x v="2"/>
    <x v="39"/>
    <x v="2"/>
    <x v="1"/>
    <x v="0"/>
    <x v="4"/>
    <x v="1"/>
    <x v="47"/>
    <x v="343"/>
    <x v="3"/>
    <x v="347"/>
    <x v="0"/>
    <x v="0"/>
    <x v="1"/>
    <x v="1"/>
    <x v="3"/>
    <x v="2"/>
  </r>
  <r>
    <x v="349"/>
    <x v="229"/>
    <x v="4"/>
    <x v="3"/>
    <x v="36"/>
    <x v="1"/>
    <x v="2"/>
    <x v="3"/>
    <x v="1"/>
    <x v="3"/>
    <x v="1"/>
    <x v="344"/>
    <x v="0"/>
    <x v="348"/>
    <x v="0"/>
    <x v="1"/>
    <x v="0"/>
    <x v="1"/>
    <x v="2"/>
    <x v="0"/>
  </r>
  <r>
    <x v="350"/>
    <x v="107"/>
    <x v="2"/>
    <x v="3"/>
    <x v="43"/>
    <x v="3"/>
    <x v="1"/>
    <x v="1"/>
    <x v="0"/>
    <x v="0"/>
    <x v="17"/>
    <x v="345"/>
    <x v="0"/>
    <x v="349"/>
    <x v="2"/>
    <x v="2"/>
    <x v="0"/>
    <x v="0"/>
    <x v="0"/>
    <x v="2"/>
  </r>
  <r>
    <x v="351"/>
    <x v="45"/>
    <x v="2"/>
    <x v="0"/>
    <x v="8"/>
    <x v="1"/>
    <x v="2"/>
    <x v="1"/>
    <x v="2"/>
    <x v="1"/>
    <x v="24"/>
    <x v="346"/>
    <x v="3"/>
    <x v="350"/>
    <x v="0"/>
    <x v="0"/>
    <x v="0"/>
    <x v="1"/>
    <x v="2"/>
    <x v="2"/>
  </r>
  <r>
    <x v="352"/>
    <x v="230"/>
    <x v="2"/>
    <x v="4"/>
    <x v="22"/>
    <x v="2"/>
    <x v="1"/>
    <x v="3"/>
    <x v="0"/>
    <x v="0"/>
    <x v="34"/>
    <x v="347"/>
    <x v="3"/>
    <x v="351"/>
    <x v="0"/>
    <x v="1"/>
    <x v="1"/>
    <x v="1"/>
    <x v="0"/>
    <x v="2"/>
  </r>
  <r>
    <x v="353"/>
    <x v="58"/>
    <x v="0"/>
    <x v="0"/>
    <x v="25"/>
    <x v="2"/>
    <x v="4"/>
    <x v="1"/>
    <x v="3"/>
    <x v="3"/>
    <x v="7"/>
    <x v="348"/>
    <x v="3"/>
    <x v="352"/>
    <x v="2"/>
    <x v="1"/>
    <x v="1"/>
    <x v="1"/>
    <x v="2"/>
    <x v="2"/>
  </r>
  <r>
    <x v="354"/>
    <x v="100"/>
    <x v="2"/>
    <x v="3"/>
    <x v="49"/>
    <x v="1"/>
    <x v="2"/>
    <x v="2"/>
    <x v="0"/>
    <x v="0"/>
    <x v="36"/>
    <x v="349"/>
    <x v="0"/>
    <x v="353"/>
    <x v="1"/>
    <x v="0"/>
    <x v="1"/>
    <x v="0"/>
    <x v="2"/>
    <x v="1"/>
  </r>
  <r>
    <x v="355"/>
    <x v="231"/>
    <x v="2"/>
    <x v="0"/>
    <x v="36"/>
    <x v="2"/>
    <x v="2"/>
    <x v="0"/>
    <x v="3"/>
    <x v="2"/>
    <x v="11"/>
    <x v="350"/>
    <x v="0"/>
    <x v="354"/>
    <x v="2"/>
    <x v="0"/>
    <x v="0"/>
    <x v="1"/>
    <x v="2"/>
    <x v="1"/>
  </r>
  <r>
    <x v="356"/>
    <x v="114"/>
    <x v="0"/>
    <x v="1"/>
    <x v="49"/>
    <x v="2"/>
    <x v="0"/>
    <x v="0"/>
    <x v="3"/>
    <x v="2"/>
    <x v="0"/>
    <x v="351"/>
    <x v="1"/>
    <x v="355"/>
    <x v="0"/>
    <x v="1"/>
    <x v="1"/>
    <x v="0"/>
    <x v="2"/>
    <x v="2"/>
  </r>
  <r>
    <x v="357"/>
    <x v="232"/>
    <x v="3"/>
    <x v="4"/>
    <x v="23"/>
    <x v="3"/>
    <x v="5"/>
    <x v="1"/>
    <x v="3"/>
    <x v="2"/>
    <x v="16"/>
    <x v="352"/>
    <x v="2"/>
    <x v="356"/>
    <x v="2"/>
    <x v="2"/>
    <x v="0"/>
    <x v="0"/>
    <x v="2"/>
    <x v="2"/>
  </r>
  <r>
    <x v="358"/>
    <x v="95"/>
    <x v="4"/>
    <x v="0"/>
    <x v="47"/>
    <x v="1"/>
    <x v="3"/>
    <x v="1"/>
    <x v="1"/>
    <x v="1"/>
    <x v="7"/>
    <x v="353"/>
    <x v="3"/>
    <x v="357"/>
    <x v="2"/>
    <x v="0"/>
    <x v="0"/>
    <x v="1"/>
    <x v="0"/>
    <x v="2"/>
  </r>
  <r>
    <x v="359"/>
    <x v="23"/>
    <x v="3"/>
    <x v="4"/>
    <x v="40"/>
    <x v="1"/>
    <x v="3"/>
    <x v="2"/>
    <x v="0"/>
    <x v="0"/>
    <x v="9"/>
    <x v="354"/>
    <x v="2"/>
    <x v="358"/>
    <x v="0"/>
    <x v="0"/>
    <x v="0"/>
    <x v="1"/>
    <x v="3"/>
    <x v="0"/>
  </r>
  <r>
    <x v="360"/>
    <x v="106"/>
    <x v="3"/>
    <x v="4"/>
    <x v="39"/>
    <x v="1"/>
    <x v="1"/>
    <x v="2"/>
    <x v="0"/>
    <x v="0"/>
    <x v="39"/>
    <x v="355"/>
    <x v="2"/>
    <x v="359"/>
    <x v="1"/>
    <x v="0"/>
    <x v="1"/>
    <x v="1"/>
    <x v="2"/>
    <x v="2"/>
  </r>
  <r>
    <x v="361"/>
    <x v="116"/>
    <x v="3"/>
    <x v="0"/>
    <x v="7"/>
    <x v="1"/>
    <x v="5"/>
    <x v="2"/>
    <x v="1"/>
    <x v="0"/>
    <x v="35"/>
    <x v="356"/>
    <x v="3"/>
    <x v="360"/>
    <x v="0"/>
    <x v="2"/>
    <x v="1"/>
    <x v="1"/>
    <x v="1"/>
    <x v="0"/>
  </r>
  <r>
    <x v="362"/>
    <x v="65"/>
    <x v="3"/>
    <x v="1"/>
    <x v="34"/>
    <x v="2"/>
    <x v="2"/>
    <x v="1"/>
    <x v="3"/>
    <x v="1"/>
    <x v="28"/>
    <x v="357"/>
    <x v="0"/>
    <x v="361"/>
    <x v="0"/>
    <x v="1"/>
    <x v="0"/>
    <x v="1"/>
    <x v="2"/>
    <x v="1"/>
  </r>
  <r>
    <x v="363"/>
    <x v="233"/>
    <x v="0"/>
    <x v="3"/>
    <x v="8"/>
    <x v="1"/>
    <x v="0"/>
    <x v="0"/>
    <x v="4"/>
    <x v="2"/>
    <x v="14"/>
    <x v="358"/>
    <x v="0"/>
    <x v="362"/>
    <x v="0"/>
    <x v="0"/>
    <x v="1"/>
    <x v="0"/>
    <x v="4"/>
    <x v="2"/>
  </r>
  <r>
    <x v="364"/>
    <x v="20"/>
    <x v="4"/>
    <x v="0"/>
    <x v="48"/>
    <x v="2"/>
    <x v="4"/>
    <x v="0"/>
    <x v="2"/>
    <x v="3"/>
    <x v="14"/>
    <x v="359"/>
    <x v="3"/>
    <x v="363"/>
    <x v="1"/>
    <x v="0"/>
    <x v="1"/>
    <x v="1"/>
    <x v="1"/>
    <x v="2"/>
  </r>
  <r>
    <x v="365"/>
    <x v="234"/>
    <x v="4"/>
    <x v="0"/>
    <x v="19"/>
    <x v="0"/>
    <x v="2"/>
    <x v="3"/>
    <x v="1"/>
    <x v="1"/>
    <x v="3"/>
    <x v="360"/>
    <x v="0"/>
    <x v="364"/>
    <x v="2"/>
    <x v="2"/>
    <x v="1"/>
    <x v="0"/>
    <x v="2"/>
    <x v="1"/>
  </r>
  <r>
    <x v="366"/>
    <x v="235"/>
    <x v="4"/>
    <x v="4"/>
    <x v="1"/>
    <x v="2"/>
    <x v="4"/>
    <x v="1"/>
    <x v="3"/>
    <x v="3"/>
    <x v="24"/>
    <x v="361"/>
    <x v="3"/>
    <x v="365"/>
    <x v="2"/>
    <x v="1"/>
    <x v="0"/>
    <x v="1"/>
    <x v="2"/>
    <x v="2"/>
  </r>
  <r>
    <x v="367"/>
    <x v="235"/>
    <x v="1"/>
    <x v="0"/>
    <x v="3"/>
    <x v="0"/>
    <x v="3"/>
    <x v="3"/>
    <x v="1"/>
    <x v="3"/>
    <x v="44"/>
    <x v="362"/>
    <x v="0"/>
    <x v="366"/>
    <x v="1"/>
    <x v="0"/>
    <x v="1"/>
    <x v="0"/>
    <x v="2"/>
    <x v="0"/>
  </r>
  <r>
    <x v="368"/>
    <x v="145"/>
    <x v="1"/>
    <x v="4"/>
    <x v="29"/>
    <x v="1"/>
    <x v="1"/>
    <x v="1"/>
    <x v="0"/>
    <x v="1"/>
    <x v="17"/>
    <x v="363"/>
    <x v="0"/>
    <x v="367"/>
    <x v="0"/>
    <x v="0"/>
    <x v="1"/>
    <x v="1"/>
    <x v="3"/>
    <x v="2"/>
  </r>
  <r>
    <x v="369"/>
    <x v="99"/>
    <x v="2"/>
    <x v="2"/>
    <x v="15"/>
    <x v="2"/>
    <x v="3"/>
    <x v="1"/>
    <x v="2"/>
    <x v="3"/>
    <x v="45"/>
    <x v="364"/>
    <x v="0"/>
    <x v="368"/>
    <x v="0"/>
    <x v="1"/>
    <x v="1"/>
    <x v="1"/>
    <x v="2"/>
    <x v="2"/>
  </r>
  <r>
    <x v="370"/>
    <x v="111"/>
    <x v="0"/>
    <x v="3"/>
    <x v="11"/>
    <x v="1"/>
    <x v="1"/>
    <x v="3"/>
    <x v="2"/>
    <x v="3"/>
    <x v="47"/>
    <x v="365"/>
    <x v="3"/>
    <x v="369"/>
    <x v="2"/>
    <x v="2"/>
    <x v="1"/>
    <x v="1"/>
    <x v="2"/>
    <x v="2"/>
  </r>
  <r>
    <x v="371"/>
    <x v="198"/>
    <x v="0"/>
    <x v="1"/>
    <x v="37"/>
    <x v="2"/>
    <x v="0"/>
    <x v="2"/>
    <x v="4"/>
    <x v="2"/>
    <x v="16"/>
    <x v="366"/>
    <x v="0"/>
    <x v="370"/>
    <x v="2"/>
    <x v="0"/>
    <x v="0"/>
    <x v="0"/>
    <x v="1"/>
    <x v="2"/>
  </r>
  <r>
    <x v="372"/>
    <x v="76"/>
    <x v="1"/>
    <x v="4"/>
    <x v="30"/>
    <x v="0"/>
    <x v="2"/>
    <x v="3"/>
    <x v="1"/>
    <x v="3"/>
    <x v="37"/>
    <x v="367"/>
    <x v="2"/>
    <x v="371"/>
    <x v="0"/>
    <x v="1"/>
    <x v="1"/>
    <x v="1"/>
    <x v="4"/>
    <x v="1"/>
  </r>
  <r>
    <x v="373"/>
    <x v="236"/>
    <x v="2"/>
    <x v="2"/>
    <x v="38"/>
    <x v="1"/>
    <x v="0"/>
    <x v="1"/>
    <x v="4"/>
    <x v="0"/>
    <x v="38"/>
    <x v="368"/>
    <x v="1"/>
    <x v="372"/>
    <x v="0"/>
    <x v="1"/>
    <x v="0"/>
    <x v="0"/>
    <x v="2"/>
    <x v="2"/>
  </r>
  <r>
    <x v="374"/>
    <x v="56"/>
    <x v="2"/>
    <x v="0"/>
    <x v="21"/>
    <x v="2"/>
    <x v="3"/>
    <x v="0"/>
    <x v="1"/>
    <x v="3"/>
    <x v="16"/>
    <x v="369"/>
    <x v="1"/>
    <x v="373"/>
    <x v="2"/>
    <x v="1"/>
    <x v="1"/>
    <x v="1"/>
    <x v="3"/>
    <x v="2"/>
  </r>
  <r>
    <x v="375"/>
    <x v="3"/>
    <x v="4"/>
    <x v="3"/>
    <x v="39"/>
    <x v="1"/>
    <x v="2"/>
    <x v="1"/>
    <x v="3"/>
    <x v="3"/>
    <x v="4"/>
    <x v="370"/>
    <x v="0"/>
    <x v="374"/>
    <x v="0"/>
    <x v="0"/>
    <x v="0"/>
    <x v="0"/>
    <x v="3"/>
    <x v="2"/>
  </r>
  <r>
    <x v="376"/>
    <x v="180"/>
    <x v="0"/>
    <x v="3"/>
    <x v="39"/>
    <x v="3"/>
    <x v="3"/>
    <x v="2"/>
    <x v="1"/>
    <x v="0"/>
    <x v="39"/>
    <x v="371"/>
    <x v="0"/>
    <x v="375"/>
    <x v="1"/>
    <x v="0"/>
    <x v="0"/>
    <x v="1"/>
    <x v="4"/>
    <x v="1"/>
  </r>
  <r>
    <x v="377"/>
    <x v="150"/>
    <x v="0"/>
    <x v="2"/>
    <x v="47"/>
    <x v="2"/>
    <x v="4"/>
    <x v="3"/>
    <x v="2"/>
    <x v="3"/>
    <x v="41"/>
    <x v="372"/>
    <x v="1"/>
    <x v="376"/>
    <x v="2"/>
    <x v="2"/>
    <x v="0"/>
    <x v="0"/>
    <x v="0"/>
    <x v="1"/>
  </r>
  <r>
    <x v="378"/>
    <x v="154"/>
    <x v="3"/>
    <x v="0"/>
    <x v="30"/>
    <x v="2"/>
    <x v="3"/>
    <x v="0"/>
    <x v="2"/>
    <x v="0"/>
    <x v="17"/>
    <x v="373"/>
    <x v="0"/>
    <x v="377"/>
    <x v="0"/>
    <x v="2"/>
    <x v="1"/>
    <x v="0"/>
    <x v="1"/>
    <x v="2"/>
  </r>
  <r>
    <x v="379"/>
    <x v="52"/>
    <x v="3"/>
    <x v="3"/>
    <x v="49"/>
    <x v="0"/>
    <x v="1"/>
    <x v="2"/>
    <x v="4"/>
    <x v="0"/>
    <x v="7"/>
    <x v="374"/>
    <x v="0"/>
    <x v="378"/>
    <x v="1"/>
    <x v="0"/>
    <x v="0"/>
    <x v="0"/>
    <x v="2"/>
    <x v="0"/>
  </r>
  <r>
    <x v="380"/>
    <x v="10"/>
    <x v="2"/>
    <x v="3"/>
    <x v="25"/>
    <x v="2"/>
    <x v="1"/>
    <x v="1"/>
    <x v="0"/>
    <x v="1"/>
    <x v="19"/>
    <x v="375"/>
    <x v="1"/>
    <x v="379"/>
    <x v="0"/>
    <x v="1"/>
    <x v="1"/>
    <x v="1"/>
    <x v="2"/>
    <x v="0"/>
  </r>
  <r>
    <x v="381"/>
    <x v="4"/>
    <x v="1"/>
    <x v="0"/>
    <x v="13"/>
    <x v="2"/>
    <x v="2"/>
    <x v="2"/>
    <x v="4"/>
    <x v="0"/>
    <x v="28"/>
    <x v="376"/>
    <x v="1"/>
    <x v="380"/>
    <x v="2"/>
    <x v="0"/>
    <x v="1"/>
    <x v="1"/>
    <x v="2"/>
    <x v="2"/>
  </r>
  <r>
    <x v="382"/>
    <x v="237"/>
    <x v="3"/>
    <x v="3"/>
    <x v="25"/>
    <x v="2"/>
    <x v="5"/>
    <x v="2"/>
    <x v="1"/>
    <x v="3"/>
    <x v="0"/>
    <x v="377"/>
    <x v="0"/>
    <x v="381"/>
    <x v="0"/>
    <x v="0"/>
    <x v="0"/>
    <x v="1"/>
    <x v="3"/>
    <x v="1"/>
  </r>
  <r>
    <x v="383"/>
    <x v="238"/>
    <x v="3"/>
    <x v="2"/>
    <x v="32"/>
    <x v="0"/>
    <x v="2"/>
    <x v="1"/>
    <x v="1"/>
    <x v="3"/>
    <x v="27"/>
    <x v="378"/>
    <x v="2"/>
    <x v="382"/>
    <x v="1"/>
    <x v="2"/>
    <x v="1"/>
    <x v="1"/>
    <x v="3"/>
    <x v="2"/>
  </r>
  <r>
    <x v="384"/>
    <x v="110"/>
    <x v="0"/>
    <x v="3"/>
    <x v="3"/>
    <x v="2"/>
    <x v="4"/>
    <x v="1"/>
    <x v="2"/>
    <x v="0"/>
    <x v="0"/>
    <x v="31"/>
    <x v="2"/>
    <x v="383"/>
    <x v="2"/>
    <x v="2"/>
    <x v="1"/>
    <x v="0"/>
    <x v="0"/>
    <x v="2"/>
  </r>
  <r>
    <x v="385"/>
    <x v="239"/>
    <x v="1"/>
    <x v="0"/>
    <x v="36"/>
    <x v="1"/>
    <x v="2"/>
    <x v="1"/>
    <x v="4"/>
    <x v="0"/>
    <x v="7"/>
    <x v="379"/>
    <x v="0"/>
    <x v="384"/>
    <x v="1"/>
    <x v="0"/>
    <x v="1"/>
    <x v="1"/>
    <x v="2"/>
    <x v="2"/>
  </r>
  <r>
    <x v="386"/>
    <x v="96"/>
    <x v="0"/>
    <x v="0"/>
    <x v="19"/>
    <x v="0"/>
    <x v="4"/>
    <x v="2"/>
    <x v="3"/>
    <x v="1"/>
    <x v="27"/>
    <x v="380"/>
    <x v="0"/>
    <x v="385"/>
    <x v="0"/>
    <x v="0"/>
    <x v="0"/>
    <x v="0"/>
    <x v="2"/>
    <x v="1"/>
  </r>
  <r>
    <x v="387"/>
    <x v="45"/>
    <x v="4"/>
    <x v="0"/>
    <x v="31"/>
    <x v="1"/>
    <x v="3"/>
    <x v="3"/>
    <x v="0"/>
    <x v="3"/>
    <x v="35"/>
    <x v="381"/>
    <x v="1"/>
    <x v="386"/>
    <x v="1"/>
    <x v="0"/>
    <x v="1"/>
    <x v="1"/>
    <x v="2"/>
    <x v="2"/>
  </r>
  <r>
    <x v="388"/>
    <x v="240"/>
    <x v="0"/>
    <x v="0"/>
    <x v="26"/>
    <x v="3"/>
    <x v="1"/>
    <x v="3"/>
    <x v="4"/>
    <x v="3"/>
    <x v="38"/>
    <x v="382"/>
    <x v="0"/>
    <x v="387"/>
    <x v="0"/>
    <x v="0"/>
    <x v="0"/>
    <x v="0"/>
    <x v="2"/>
    <x v="1"/>
  </r>
  <r>
    <x v="389"/>
    <x v="241"/>
    <x v="1"/>
    <x v="0"/>
    <x v="37"/>
    <x v="3"/>
    <x v="4"/>
    <x v="3"/>
    <x v="1"/>
    <x v="3"/>
    <x v="25"/>
    <x v="383"/>
    <x v="0"/>
    <x v="388"/>
    <x v="1"/>
    <x v="0"/>
    <x v="1"/>
    <x v="1"/>
    <x v="4"/>
    <x v="2"/>
  </r>
  <r>
    <x v="390"/>
    <x v="161"/>
    <x v="1"/>
    <x v="2"/>
    <x v="12"/>
    <x v="3"/>
    <x v="1"/>
    <x v="3"/>
    <x v="4"/>
    <x v="0"/>
    <x v="9"/>
    <x v="384"/>
    <x v="3"/>
    <x v="389"/>
    <x v="0"/>
    <x v="0"/>
    <x v="0"/>
    <x v="1"/>
    <x v="1"/>
    <x v="0"/>
  </r>
  <r>
    <x v="391"/>
    <x v="242"/>
    <x v="0"/>
    <x v="4"/>
    <x v="38"/>
    <x v="1"/>
    <x v="1"/>
    <x v="3"/>
    <x v="4"/>
    <x v="2"/>
    <x v="19"/>
    <x v="385"/>
    <x v="1"/>
    <x v="390"/>
    <x v="1"/>
    <x v="1"/>
    <x v="0"/>
    <x v="0"/>
    <x v="0"/>
    <x v="0"/>
  </r>
  <r>
    <x v="392"/>
    <x v="142"/>
    <x v="4"/>
    <x v="0"/>
    <x v="47"/>
    <x v="3"/>
    <x v="1"/>
    <x v="3"/>
    <x v="2"/>
    <x v="3"/>
    <x v="18"/>
    <x v="386"/>
    <x v="0"/>
    <x v="391"/>
    <x v="2"/>
    <x v="0"/>
    <x v="1"/>
    <x v="0"/>
    <x v="1"/>
    <x v="2"/>
  </r>
  <r>
    <x v="393"/>
    <x v="25"/>
    <x v="2"/>
    <x v="3"/>
    <x v="47"/>
    <x v="1"/>
    <x v="2"/>
    <x v="1"/>
    <x v="0"/>
    <x v="0"/>
    <x v="2"/>
    <x v="387"/>
    <x v="1"/>
    <x v="392"/>
    <x v="0"/>
    <x v="0"/>
    <x v="0"/>
    <x v="0"/>
    <x v="4"/>
    <x v="0"/>
  </r>
  <r>
    <x v="394"/>
    <x v="243"/>
    <x v="2"/>
    <x v="0"/>
    <x v="43"/>
    <x v="0"/>
    <x v="5"/>
    <x v="3"/>
    <x v="2"/>
    <x v="1"/>
    <x v="6"/>
    <x v="388"/>
    <x v="0"/>
    <x v="393"/>
    <x v="0"/>
    <x v="0"/>
    <x v="1"/>
    <x v="0"/>
    <x v="1"/>
    <x v="2"/>
  </r>
  <r>
    <x v="395"/>
    <x v="2"/>
    <x v="2"/>
    <x v="3"/>
    <x v="0"/>
    <x v="3"/>
    <x v="4"/>
    <x v="2"/>
    <x v="4"/>
    <x v="1"/>
    <x v="45"/>
    <x v="389"/>
    <x v="2"/>
    <x v="394"/>
    <x v="0"/>
    <x v="1"/>
    <x v="0"/>
    <x v="0"/>
    <x v="0"/>
    <x v="1"/>
  </r>
  <r>
    <x v="396"/>
    <x v="233"/>
    <x v="2"/>
    <x v="4"/>
    <x v="46"/>
    <x v="3"/>
    <x v="1"/>
    <x v="1"/>
    <x v="0"/>
    <x v="3"/>
    <x v="44"/>
    <x v="390"/>
    <x v="0"/>
    <x v="395"/>
    <x v="1"/>
    <x v="0"/>
    <x v="1"/>
    <x v="0"/>
    <x v="0"/>
    <x v="2"/>
  </r>
  <r>
    <x v="397"/>
    <x v="244"/>
    <x v="0"/>
    <x v="0"/>
    <x v="18"/>
    <x v="2"/>
    <x v="2"/>
    <x v="1"/>
    <x v="3"/>
    <x v="3"/>
    <x v="34"/>
    <x v="391"/>
    <x v="1"/>
    <x v="396"/>
    <x v="1"/>
    <x v="1"/>
    <x v="1"/>
    <x v="1"/>
    <x v="2"/>
    <x v="2"/>
  </r>
  <r>
    <x v="398"/>
    <x v="169"/>
    <x v="2"/>
    <x v="3"/>
    <x v="49"/>
    <x v="3"/>
    <x v="5"/>
    <x v="1"/>
    <x v="0"/>
    <x v="3"/>
    <x v="14"/>
    <x v="392"/>
    <x v="3"/>
    <x v="397"/>
    <x v="2"/>
    <x v="0"/>
    <x v="0"/>
    <x v="1"/>
    <x v="1"/>
    <x v="0"/>
  </r>
  <r>
    <x v="399"/>
    <x v="245"/>
    <x v="1"/>
    <x v="0"/>
    <x v="49"/>
    <x v="0"/>
    <x v="3"/>
    <x v="1"/>
    <x v="0"/>
    <x v="3"/>
    <x v="27"/>
    <x v="393"/>
    <x v="2"/>
    <x v="398"/>
    <x v="2"/>
    <x v="0"/>
    <x v="1"/>
    <x v="0"/>
    <x v="1"/>
    <x v="2"/>
  </r>
  <r>
    <x v="400"/>
    <x v="246"/>
    <x v="2"/>
    <x v="3"/>
    <x v="38"/>
    <x v="2"/>
    <x v="5"/>
    <x v="2"/>
    <x v="3"/>
    <x v="1"/>
    <x v="37"/>
    <x v="394"/>
    <x v="0"/>
    <x v="399"/>
    <x v="0"/>
    <x v="0"/>
    <x v="0"/>
    <x v="1"/>
    <x v="0"/>
    <x v="0"/>
  </r>
  <r>
    <x v="401"/>
    <x v="77"/>
    <x v="2"/>
    <x v="0"/>
    <x v="31"/>
    <x v="1"/>
    <x v="5"/>
    <x v="1"/>
    <x v="0"/>
    <x v="3"/>
    <x v="6"/>
    <x v="395"/>
    <x v="1"/>
    <x v="400"/>
    <x v="1"/>
    <x v="2"/>
    <x v="1"/>
    <x v="0"/>
    <x v="2"/>
    <x v="0"/>
  </r>
  <r>
    <x v="402"/>
    <x v="61"/>
    <x v="2"/>
    <x v="0"/>
    <x v="23"/>
    <x v="1"/>
    <x v="4"/>
    <x v="0"/>
    <x v="4"/>
    <x v="3"/>
    <x v="6"/>
    <x v="396"/>
    <x v="1"/>
    <x v="401"/>
    <x v="1"/>
    <x v="1"/>
    <x v="1"/>
    <x v="0"/>
    <x v="4"/>
    <x v="1"/>
  </r>
  <r>
    <x v="403"/>
    <x v="170"/>
    <x v="4"/>
    <x v="0"/>
    <x v="27"/>
    <x v="3"/>
    <x v="1"/>
    <x v="2"/>
    <x v="0"/>
    <x v="2"/>
    <x v="43"/>
    <x v="397"/>
    <x v="0"/>
    <x v="402"/>
    <x v="0"/>
    <x v="2"/>
    <x v="1"/>
    <x v="0"/>
    <x v="4"/>
    <x v="2"/>
  </r>
  <r>
    <x v="404"/>
    <x v="228"/>
    <x v="2"/>
    <x v="3"/>
    <x v="12"/>
    <x v="1"/>
    <x v="1"/>
    <x v="1"/>
    <x v="0"/>
    <x v="1"/>
    <x v="41"/>
    <x v="398"/>
    <x v="2"/>
    <x v="403"/>
    <x v="0"/>
    <x v="0"/>
    <x v="1"/>
    <x v="0"/>
    <x v="3"/>
    <x v="2"/>
  </r>
  <r>
    <x v="405"/>
    <x v="247"/>
    <x v="3"/>
    <x v="0"/>
    <x v="39"/>
    <x v="2"/>
    <x v="2"/>
    <x v="0"/>
    <x v="0"/>
    <x v="2"/>
    <x v="37"/>
    <x v="399"/>
    <x v="0"/>
    <x v="404"/>
    <x v="1"/>
    <x v="0"/>
    <x v="1"/>
    <x v="0"/>
    <x v="0"/>
    <x v="2"/>
  </r>
  <r>
    <x v="406"/>
    <x v="171"/>
    <x v="0"/>
    <x v="4"/>
    <x v="25"/>
    <x v="2"/>
    <x v="4"/>
    <x v="1"/>
    <x v="1"/>
    <x v="3"/>
    <x v="44"/>
    <x v="400"/>
    <x v="0"/>
    <x v="405"/>
    <x v="0"/>
    <x v="1"/>
    <x v="1"/>
    <x v="1"/>
    <x v="2"/>
    <x v="0"/>
  </r>
  <r>
    <x v="407"/>
    <x v="190"/>
    <x v="0"/>
    <x v="0"/>
    <x v="41"/>
    <x v="3"/>
    <x v="1"/>
    <x v="0"/>
    <x v="1"/>
    <x v="0"/>
    <x v="24"/>
    <x v="401"/>
    <x v="2"/>
    <x v="406"/>
    <x v="0"/>
    <x v="1"/>
    <x v="0"/>
    <x v="1"/>
    <x v="4"/>
    <x v="2"/>
  </r>
  <r>
    <x v="408"/>
    <x v="7"/>
    <x v="0"/>
    <x v="4"/>
    <x v="4"/>
    <x v="0"/>
    <x v="3"/>
    <x v="1"/>
    <x v="3"/>
    <x v="3"/>
    <x v="15"/>
    <x v="402"/>
    <x v="0"/>
    <x v="407"/>
    <x v="1"/>
    <x v="0"/>
    <x v="0"/>
    <x v="1"/>
    <x v="0"/>
    <x v="1"/>
  </r>
  <r>
    <x v="409"/>
    <x v="89"/>
    <x v="0"/>
    <x v="4"/>
    <x v="42"/>
    <x v="2"/>
    <x v="3"/>
    <x v="1"/>
    <x v="3"/>
    <x v="2"/>
    <x v="49"/>
    <x v="403"/>
    <x v="0"/>
    <x v="408"/>
    <x v="1"/>
    <x v="1"/>
    <x v="0"/>
    <x v="0"/>
    <x v="3"/>
    <x v="2"/>
  </r>
  <r>
    <x v="410"/>
    <x v="60"/>
    <x v="4"/>
    <x v="0"/>
    <x v="10"/>
    <x v="1"/>
    <x v="2"/>
    <x v="0"/>
    <x v="0"/>
    <x v="2"/>
    <x v="42"/>
    <x v="404"/>
    <x v="0"/>
    <x v="409"/>
    <x v="0"/>
    <x v="2"/>
    <x v="0"/>
    <x v="0"/>
    <x v="2"/>
    <x v="1"/>
  </r>
  <r>
    <x v="411"/>
    <x v="248"/>
    <x v="4"/>
    <x v="1"/>
    <x v="25"/>
    <x v="2"/>
    <x v="4"/>
    <x v="1"/>
    <x v="2"/>
    <x v="2"/>
    <x v="1"/>
    <x v="405"/>
    <x v="0"/>
    <x v="410"/>
    <x v="1"/>
    <x v="0"/>
    <x v="0"/>
    <x v="0"/>
    <x v="4"/>
    <x v="0"/>
  </r>
  <r>
    <x v="412"/>
    <x v="249"/>
    <x v="0"/>
    <x v="0"/>
    <x v="46"/>
    <x v="0"/>
    <x v="5"/>
    <x v="0"/>
    <x v="1"/>
    <x v="1"/>
    <x v="12"/>
    <x v="406"/>
    <x v="0"/>
    <x v="411"/>
    <x v="2"/>
    <x v="0"/>
    <x v="1"/>
    <x v="1"/>
    <x v="2"/>
    <x v="2"/>
  </r>
  <r>
    <x v="413"/>
    <x v="99"/>
    <x v="0"/>
    <x v="0"/>
    <x v="1"/>
    <x v="0"/>
    <x v="0"/>
    <x v="1"/>
    <x v="4"/>
    <x v="1"/>
    <x v="39"/>
    <x v="407"/>
    <x v="1"/>
    <x v="412"/>
    <x v="2"/>
    <x v="2"/>
    <x v="1"/>
    <x v="1"/>
    <x v="4"/>
    <x v="2"/>
  </r>
  <r>
    <x v="414"/>
    <x v="250"/>
    <x v="3"/>
    <x v="1"/>
    <x v="16"/>
    <x v="0"/>
    <x v="0"/>
    <x v="2"/>
    <x v="0"/>
    <x v="3"/>
    <x v="9"/>
    <x v="408"/>
    <x v="0"/>
    <x v="413"/>
    <x v="1"/>
    <x v="2"/>
    <x v="0"/>
    <x v="1"/>
    <x v="1"/>
    <x v="0"/>
  </r>
  <r>
    <x v="415"/>
    <x v="134"/>
    <x v="1"/>
    <x v="2"/>
    <x v="18"/>
    <x v="1"/>
    <x v="2"/>
    <x v="0"/>
    <x v="0"/>
    <x v="1"/>
    <x v="36"/>
    <x v="112"/>
    <x v="3"/>
    <x v="414"/>
    <x v="1"/>
    <x v="0"/>
    <x v="0"/>
    <x v="1"/>
    <x v="1"/>
    <x v="0"/>
  </r>
  <r>
    <x v="416"/>
    <x v="251"/>
    <x v="0"/>
    <x v="0"/>
    <x v="38"/>
    <x v="0"/>
    <x v="1"/>
    <x v="0"/>
    <x v="3"/>
    <x v="3"/>
    <x v="4"/>
    <x v="409"/>
    <x v="0"/>
    <x v="415"/>
    <x v="2"/>
    <x v="0"/>
    <x v="0"/>
    <x v="1"/>
    <x v="4"/>
    <x v="0"/>
  </r>
  <r>
    <x v="417"/>
    <x v="250"/>
    <x v="3"/>
    <x v="3"/>
    <x v="9"/>
    <x v="3"/>
    <x v="3"/>
    <x v="1"/>
    <x v="3"/>
    <x v="2"/>
    <x v="21"/>
    <x v="410"/>
    <x v="0"/>
    <x v="416"/>
    <x v="1"/>
    <x v="0"/>
    <x v="0"/>
    <x v="1"/>
    <x v="0"/>
    <x v="2"/>
  </r>
  <r>
    <x v="418"/>
    <x v="188"/>
    <x v="2"/>
    <x v="0"/>
    <x v="22"/>
    <x v="2"/>
    <x v="1"/>
    <x v="1"/>
    <x v="1"/>
    <x v="1"/>
    <x v="1"/>
    <x v="411"/>
    <x v="3"/>
    <x v="417"/>
    <x v="0"/>
    <x v="1"/>
    <x v="1"/>
    <x v="1"/>
    <x v="1"/>
    <x v="2"/>
  </r>
  <r>
    <x v="419"/>
    <x v="252"/>
    <x v="1"/>
    <x v="3"/>
    <x v="11"/>
    <x v="3"/>
    <x v="2"/>
    <x v="1"/>
    <x v="2"/>
    <x v="3"/>
    <x v="47"/>
    <x v="412"/>
    <x v="0"/>
    <x v="418"/>
    <x v="0"/>
    <x v="2"/>
    <x v="1"/>
    <x v="0"/>
    <x v="4"/>
    <x v="2"/>
  </r>
  <r>
    <x v="420"/>
    <x v="22"/>
    <x v="4"/>
    <x v="2"/>
    <x v="9"/>
    <x v="0"/>
    <x v="1"/>
    <x v="2"/>
    <x v="3"/>
    <x v="3"/>
    <x v="16"/>
    <x v="413"/>
    <x v="1"/>
    <x v="419"/>
    <x v="0"/>
    <x v="0"/>
    <x v="0"/>
    <x v="0"/>
    <x v="4"/>
    <x v="2"/>
  </r>
  <r>
    <x v="421"/>
    <x v="119"/>
    <x v="2"/>
    <x v="3"/>
    <x v="24"/>
    <x v="1"/>
    <x v="5"/>
    <x v="0"/>
    <x v="0"/>
    <x v="2"/>
    <x v="21"/>
    <x v="58"/>
    <x v="0"/>
    <x v="420"/>
    <x v="2"/>
    <x v="0"/>
    <x v="1"/>
    <x v="0"/>
    <x v="0"/>
    <x v="2"/>
  </r>
  <r>
    <x v="422"/>
    <x v="0"/>
    <x v="3"/>
    <x v="4"/>
    <x v="18"/>
    <x v="1"/>
    <x v="4"/>
    <x v="1"/>
    <x v="0"/>
    <x v="1"/>
    <x v="49"/>
    <x v="414"/>
    <x v="3"/>
    <x v="421"/>
    <x v="0"/>
    <x v="0"/>
    <x v="0"/>
    <x v="1"/>
    <x v="2"/>
    <x v="2"/>
  </r>
  <r>
    <x v="423"/>
    <x v="231"/>
    <x v="0"/>
    <x v="4"/>
    <x v="33"/>
    <x v="2"/>
    <x v="5"/>
    <x v="0"/>
    <x v="3"/>
    <x v="2"/>
    <x v="46"/>
    <x v="415"/>
    <x v="1"/>
    <x v="422"/>
    <x v="0"/>
    <x v="2"/>
    <x v="1"/>
    <x v="0"/>
    <x v="4"/>
    <x v="0"/>
  </r>
  <r>
    <x v="424"/>
    <x v="253"/>
    <x v="0"/>
    <x v="3"/>
    <x v="14"/>
    <x v="2"/>
    <x v="5"/>
    <x v="1"/>
    <x v="3"/>
    <x v="3"/>
    <x v="41"/>
    <x v="416"/>
    <x v="3"/>
    <x v="423"/>
    <x v="0"/>
    <x v="0"/>
    <x v="0"/>
    <x v="1"/>
    <x v="4"/>
    <x v="2"/>
  </r>
  <r>
    <x v="425"/>
    <x v="254"/>
    <x v="2"/>
    <x v="1"/>
    <x v="43"/>
    <x v="1"/>
    <x v="1"/>
    <x v="3"/>
    <x v="0"/>
    <x v="2"/>
    <x v="28"/>
    <x v="417"/>
    <x v="3"/>
    <x v="424"/>
    <x v="0"/>
    <x v="2"/>
    <x v="0"/>
    <x v="1"/>
    <x v="2"/>
    <x v="2"/>
  </r>
  <r>
    <x v="426"/>
    <x v="196"/>
    <x v="2"/>
    <x v="3"/>
    <x v="30"/>
    <x v="1"/>
    <x v="5"/>
    <x v="1"/>
    <x v="0"/>
    <x v="2"/>
    <x v="45"/>
    <x v="418"/>
    <x v="3"/>
    <x v="425"/>
    <x v="2"/>
    <x v="2"/>
    <x v="0"/>
    <x v="1"/>
    <x v="3"/>
    <x v="1"/>
  </r>
  <r>
    <x v="427"/>
    <x v="6"/>
    <x v="0"/>
    <x v="3"/>
    <x v="25"/>
    <x v="0"/>
    <x v="1"/>
    <x v="3"/>
    <x v="1"/>
    <x v="2"/>
    <x v="28"/>
    <x v="173"/>
    <x v="2"/>
    <x v="426"/>
    <x v="1"/>
    <x v="1"/>
    <x v="0"/>
    <x v="1"/>
    <x v="4"/>
    <x v="2"/>
  </r>
  <r>
    <x v="428"/>
    <x v="141"/>
    <x v="2"/>
    <x v="3"/>
    <x v="1"/>
    <x v="2"/>
    <x v="1"/>
    <x v="2"/>
    <x v="3"/>
    <x v="1"/>
    <x v="1"/>
    <x v="419"/>
    <x v="0"/>
    <x v="427"/>
    <x v="2"/>
    <x v="1"/>
    <x v="0"/>
    <x v="0"/>
    <x v="3"/>
    <x v="2"/>
  </r>
  <r>
    <x v="429"/>
    <x v="24"/>
    <x v="2"/>
    <x v="3"/>
    <x v="4"/>
    <x v="1"/>
    <x v="2"/>
    <x v="0"/>
    <x v="3"/>
    <x v="1"/>
    <x v="12"/>
    <x v="420"/>
    <x v="0"/>
    <x v="428"/>
    <x v="0"/>
    <x v="0"/>
    <x v="0"/>
    <x v="0"/>
    <x v="4"/>
    <x v="2"/>
  </r>
  <r>
    <x v="430"/>
    <x v="255"/>
    <x v="2"/>
    <x v="0"/>
    <x v="44"/>
    <x v="3"/>
    <x v="3"/>
    <x v="1"/>
    <x v="4"/>
    <x v="3"/>
    <x v="36"/>
    <x v="421"/>
    <x v="0"/>
    <x v="429"/>
    <x v="0"/>
    <x v="2"/>
    <x v="0"/>
    <x v="0"/>
    <x v="0"/>
    <x v="0"/>
  </r>
  <r>
    <x v="431"/>
    <x v="57"/>
    <x v="2"/>
    <x v="3"/>
    <x v="38"/>
    <x v="0"/>
    <x v="5"/>
    <x v="1"/>
    <x v="0"/>
    <x v="2"/>
    <x v="6"/>
    <x v="422"/>
    <x v="2"/>
    <x v="430"/>
    <x v="1"/>
    <x v="0"/>
    <x v="0"/>
    <x v="1"/>
    <x v="0"/>
    <x v="0"/>
  </r>
  <r>
    <x v="432"/>
    <x v="256"/>
    <x v="3"/>
    <x v="3"/>
    <x v="10"/>
    <x v="1"/>
    <x v="5"/>
    <x v="1"/>
    <x v="0"/>
    <x v="3"/>
    <x v="9"/>
    <x v="423"/>
    <x v="2"/>
    <x v="431"/>
    <x v="0"/>
    <x v="0"/>
    <x v="1"/>
    <x v="1"/>
    <x v="4"/>
    <x v="2"/>
  </r>
  <r>
    <x v="433"/>
    <x v="202"/>
    <x v="1"/>
    <x v="3"/>
    <x v="23"/>
    <x v="2"/>
    <x v="1"/>
    <x v="1"/>
    <x v="1"/>
    <x v="0"/>
    <x v="39"/>
    <x v="424"/>
    <x v="3"/>
    <x v="432"/>
    <x v="2"/>
    <x v="0"/>
    <x v="0"/>
    <x v="1"/>
    <x v="4"/>
    <x v="2"/>
  </r>
  <r>
    <x v="434"/>
    <x v="26"/>
    <x v="3"/>
    <x v="4"/>
    <x v="21"/>
    <x v="3"/>
    <x v="1"/>
    <x v="3"/>
    <x v="0"/>
    <x v="3"/>
    <x v="30"/>
    <x v="425"/>
    <x v="1"/>
    <x v="433"/>
    <x v="1"/>
    <x v="0"/>
    <x v="1"/>
    <x v="1"/>
    <x v="2"/>
    <x v="0"/>
  </r>
  <r>
    <x v="435"/>
    <x v="257"/>
    <x v="0"/>
    <x v="4"/>
    <x v="7"/>
    <x v="2"/>
    <x v="4"/>
    <x v="3"/>
    <x v="2"/>
    <x v="0"/>
    <x v="36"/>
    <x v="426"/>
    <x v="1"/>
    <x v="434"/>
    <x v="0"/>
    <x v="1"/>
    <x v="0"/>
    <x v="1"/>
    <x v="1"/>
    <x v="1"/>
  </r>
  <r>
    <x v="436"/>
    <x v="258"/>
    <x v="1"/>
    <x v="3"/>
    <x v="15"/>
    <x v="2"/>
    <x v="0"/>
    <x v="3"/>
    <x v="1"/>
    <x v="2"/>
    <x v="15"/>
    <x v="427"/>
    <x v="0"/>
    <x v="435"/>
    <x v="2"/>
    <x v="0"/>
    <x v="0"/>
    <x v="1"/>
    <x v="3"/>
    <x v="2"/>
  </r>
  <r>
    <x v="437"/>
    <x v="10"/>
    <x v="1"/>
    <x v="2"/>
    <x v="17"/>
    <x v="2"/>
    <x v="5"/>
    <x v="1"/>
    <x v="3"/>
    <x v="3"/>
    <x v="19"/>
    <x v="428"/>
    <x v="2"/>
    <x v="436"/>
    <x v="0"/>
    <x v="0"/>
    <x v="0"/>
    <x v="0"/>
    <x v="4"/>
    <x v="2"/>
  </r>
  <r>
    <x v="438"/>
    <x v="45"/>
    <x v="4"/>
    <x v="1"/>
    <x v="7"/>
    <x v="0"/>
    <x v="0"/>
    <x v="2"/>
    <x v="2"/>
    <x v="0"/>
    <x v="15"/>
    <x v="429"/>
    <x v="0"/>
    <x v="437"/>
    <x v="0"/>
    <x v="0"/>
    <x v="1"/>
    <x v="1"/>
    <x v="3"/>
    <x v="2"/>
  </r>
  <r>
    <x v="439"/>
    <x v="133"/>
    <x v="1"/>
    <x v="2"/>
    <x v="47"/>
    <x v="0"/>
    <x v="3"/>
    <x v="1"/>
    <x v="4"/>
    <x v="0"/>
    <x v="37"/>
    <x v="430"/>
    <x v="0"/>
    <x v="438"/>
    <x v="0"/>
    <x v="0"/>
    <x v="0"/>
    <x v="1"/>
    <x v="4"/>
    <x v="2"/>
  </r>
  <r>
    <x v="440"/>
    <x v="117"/>
    <x v="0"/>
    <x v="3"/>
    <x v="22"/>
    <x v="3"/>
    <x v="1"/>
    <x v="0"/>
    <x v="1"/>
    <x v="3"/>
    <x v="43"/>
    <x v="431"/>
    <x v="1"/>
    <x v="439"/>
    <x v="0"/>
    <x v="0"/>
    <x v="1"/>
    <x v="1"/>
    <x v="3"/>
    <x v="2"/>
  </r>
  <r>
    <x v="441"/>
    <x v="259"/>
    <x v="1"/>
    <x v="3"/>
    <x v="46"/>
    <x v="1"/>
    <x v="5"/>
    <x v="3"/>
    <x v="3"/>
    <x v="3"/>
    <x v="6"/>
    <x v="432"/>
    <x v="0"/>
    <x v="440"/>
    <x v="2"/>
    <x v="2"/>
    <x v="0"/>
    <x v="0"/>
    <x v="0"/>
    <x v="2"/>
  </r>
  <r>
    <x v="442"/>
    <x v="163"/>
    <x v="2"/>
    <x v="2"/>
    <x v="13"/>
    <x v="3"/>
    <x v="3"/>
    <x v="1"/>
    <x v="3"/>
    <x v="3"/>
    <x v="35"/>
    <x v="433"/>
    <x v="3"/>
    <x v="441"/>
    <x v="0"/>
    <x v="2"/>
    <x v="0"/>
    <x v="1"/>
    <x v="1"/>
    <x v="0"/>
  </r>
  <r>
    <x v="443"/>
    <x v="260"/>
    <x v="0"/>
    <x v="2"/>
    <x v="24"/>
    <x v="2"/>
    <x v="2"/>
    <x v="1"/>
    <x v="3"/>
    <x v="0"/>
    <x v="32"/>
    <x v="434"/>
    <x v="0"/>
    <x v="442"/>
    <x v="2"/>
    <x v="0"/>
    <x v="1"/>
    <x v="1"/>
    <x v="4"/>
    <x v="2"/>
  </r>
  <r>
    <x v="444"/>
    <x v="50"/>
    <x v="0"/>
    <x v="0"/>
    <x v="41"/>
    <x v="1"/>
    <x v="5"/>
    <x v="2"/>
    <x v="1"/>
    <x v="3"/>
    <x v="45"/>
    <x v="435"/>
    <x v="1"/>
    <x v="443"/>
    <x v="0"/>
    <x v="1"/>
    <x v="0"/>
    <x v="1"/>
    <x v="3"/>
    <x v="1"/>
  </r>
  <r>
    <x v="445"/>
    <x v="151"/>
    <x v="1"/>
    <x v="2"/>
    <x v="42"/>
    <x v="2"/>
    <x v="0"/>
    <x v="3"/>
    <x v="4"/>
    <x v="1"/>
    <x v="30"/>
    <x v="436"/>
    <x v="3"/>
    <x v="444"/>
    <x v="0"/>
    <x v="1"/>
    <x v="0"/>
    <x v="1"/>
    <x v="3"/>
    <x v="2"/>
  </r>
  <r>
    <x v="446"/>
    <x v="261"/>
    <x v="3"/>
    <x v="2"/>
    <x v="3"/>
    <x v="1"/>
    <x v="3"/>
    <x v="3"/>
    <x v="1"/>
    <x v="1"/>
    <x v="42"/>
    <x v="437"/>
    <x v="3"/>
    <x v="445"/>
    <x v="2"/>
    <x v="0"/>
    <x v="0"/>
    <x v="0"/>
    <x v="4"/>
    <x v="2"/>
  </r>
  <r>
    <x v="447"/>
    <x v="193"/>
    <x v="1"/>
    <x v="1"/>
    <x v="19"/>
    <x v="3"/>
    <x v="3"/>
    <x v="0"/>
    <x v="4"/>
    <x v="1"/>
    <x v="41"/>
    <x v="438"/>
    <x v="1"/>
    <x v="446"/>
    <x v="2"/>
    <x v="0"/>
    <x v="0"/>
    <x v="1"/>
    <x v="1"/>
    <x v="1"/>
  </r>
  <r>
    <x v="448"/>
    <x v="247"/>
    <x v="2"/>
    <x v="3"/>
    <x v="17"/>
    <x v="3"/>
    <x v="2"/>
    <x v="2"/>
    <x v="1"/>
    <x v="3"/>
    <x v="45"/>
    <x v="439"/>
    <x v="0"/>
    <x v="447"/>
    <x v="1"/>
    <x v="0"/>
    <x v="0"/>
    <x v="1"/>
    <x v="3"/>
    <x v="0"/>
  </r>
  <r>
    <x v="449"/>
    <x v="129"/>
    <x v="0"/>
    <x v="1"/>
    <x v="6"/>
    <x v="2"/>
    <x v="0"/>
    <x v="1"/>
    <x v="0"/>
    <x v="1"/>
    <x v="18"/>
    <x v="440"/>
    <x v="3"/>
    <x v="448"/>
    <x v="0"/>
    <x v="0"/>
    <x v="1"/>
    <x v="1"/>
    <x v="3"/>
    <x v="2"/>
  </r>
  <r>
    <x v="450"/>
    <x v="262"/>
    <x v="2"/>
    <x v="2"/>
    <x v="16"/>
    <x v="2"/>
    <x v="1"/>
    <x v="2"/>
    <x v="2"/>
    <x v="1"/>
    <x v="31"/>
    <x v="441"/>
    <x v="1"/>
    <x v="449"/>
    <x v="0"/>
    <x v="0"/>
    <x v="0"/>
    <x v="1"/>
    <x v="3"/>
    <x v="1"/>
  </r>
  <r>
    <x v="451"/>
    <x v="263"/>
    <x v="4"/>
    <x v="2"/>
    <x v="38"/>
    <x v="3"/>
    <x v="5"/>
    <x v="3"/>
    <x v="0"/>
    <x v="1"/>
    <x v="36"/>
    <x v="442"/>
    <x v="0"/>
    <x v="450"/>
    <x v="0"/>
    <x v="2"/>
    <x v="1"/>
    <x v="0"/>
    <x v="1"/>
    <x v="2"/>
  </r>
  <r>
    <x v="452"/>
    <x v="74"/>
    <x v="3"/>
    <x v="3"/>
    <x v="24"/>
    <x v="3"/>
    <x v="4"/>
    <x v="0"/>
    <x v="1"/>
    <x v="1"/>
    <x v="38"/>
    <x v="443"/>
    <x v="2"/>
    <x v="451"/>
    <x v="2"/>
    <x v="0"/>
    <x v="1"/>
    <x v="1"/>
    <x v="3"/>
    <x v="2"/>
  </r>
  <r>
    <x v="453"/>
    <x v="133"/>
    <x v="1"/>
    <x v="2"/>
    <x v="4"/>
    <x v="2"/>
    <x v="1"/>
    <x v="1"/>
    <x v="1"/>
    <x v="3"/>
    <x v="0"/>
    <x v="444"/>
    <x v="3"/>
    <x v="452"/>
    <x v="1"/>
    <x v="2"/>
    <x v="1"/>
    <x v="1"/>
    <x v="2"/>
    <x v="1"/>
  </r>
  <r>
    <x v="454"/>
    <x v="164"/>
    <x v="0"/>
    <x v="1"/>
    <x v="44"/>
    <x v="3"/>
    <x v="2"/>
    <x v="1"/>
    <x v="0"/>
    <x v="2"/>
    <x v="16"/>
    <x v="445"/>
    <x v="3"/>
    <x v="453"/>
    <x v="0"/>
    <x v="1"/>
    <x v="1"/>
    <x v="1"/>
    <x v="0"/>
    <x v="2"/>
  </r>
  <r>
    <x v="455"/>
    <x v="63"/>
    <x v="3"/>
    <x v="0"/>
    <x v="10"/>
    <x v="1"/>
    <x v="1"/>
    <x v="0"/>
    <x v="0"/>
    <x v="3"/>
    <x v="46"/>
    <x v="446"/>
    <x v="1"/>
    <x v="454"/>
    <x v="0"/>
    <x v="2"/>
    <x v="0"/>
    <x v="1"/>
    <x v="4"/>
    <x v="2"/>
  </r>
  <r>
    <x v="456"/>
    <x v="264"/>
    <x v="0"/>
    <x v="4"/>
    <x v="32"/>
    <x v="1"/>
    <x v="2"/>
    <x v="2"/>
    <x v="2"/>
    <x v="0"/>
    <x v="42"/>
    <x v="447"/>
    <x v="0"/>
    <x v="455"/>
    <x v="2"/>
    <x v="0"/>
    <x v="0"/>
    <x v="0"/>
    <x v="3"/>
    <x v="0"/>
  </r>
  <r>
    <x v="457"/>
    <x v="265"/>
    <x v="4"/>
    <x v="3"/>
    <x v="35"/>
    <x v="1"/>
    <x v="5"/>
    <x v="3"/>
    <x v="0"/>
    <x v="2"/>
    <x v="45"/>
    <x v="448"/>
    <x v="0"/>
    <x v="456"/>
    <x v="1"/>
    <x v="1"/>
    <x v="1"/>
    <x v="1"/>
    <x v="2"/>
    <x v="2"/>
  </r>
  <r>
    <x v="458"/>
    <x v="105"/>
    <x v="4"/>
    <x v="4"/>
    <x v="0"/>
    <x v="1"/>
    <x v="1"/>
    <x v="0"/>
    <x v="2"/>
    <x v="2"/>
    <x v="30"/>
    <x v="449"/>
    <x v="1"/>
    <x v="457"/>
    <x v="2"/>
    <x v="1"/>
    <x v="1"/>
    <x v="1"/>
    <x v="3"/>
    <x v="0"/>
  </r>
  <r>
    <x v="459"/>
    <x v="164"/>
    <x v="0"/>
    <x v="1"/>
    <x v="35"/>
    <x v="1"/>
    <x v="2"/>
    <x v="0"/>
    <x v="4"/>
    <x v="3"/>
    <x v="47"/>
    <x v="450"/>
    <x v="2"/>
    <x v="458"/>
    <x v="0"/>
    <x v="0"/>
    <x v="1"/>
    <x v="1"/>
    <x v="2"/>
    <x v="0"/>
  </r>
  <r>
    <x v="460"/>
    <x v="209"/>
    <x v="3"/>
    <x v="3"/>
    <x v="26"/>
    <x v="2"/>
    <x v="5"/>
    <x v="1"/>
    <x v="1"/>
    <x v="3"/>
    <x v="0"/>
    <x v="451"/>
    <x v="2"/>
    <x v="459"/>
    <x v="1"/>
    <x v="1"/>
    <x v="0"/>
    <x v="1"/>
    <x v="3"/>
    <x v="2"/>
  </r>
  <r>
    <x v="461"/>
    <x v="186"/>
    <x v="2"/>
    <x v="4"/>
    <x v="36"/>
    <x v="1"/>
    <x v="0"/>
    <x v="2"/>
    <x v="0"/>
    <x v="3"/>
    <x v="49"/>
    <x v="452"/>
    <x v="2"/>
    <x v="460"/>
    <x v="0"/>
    <x v="2"/>
    <x v="0"/>
    <x v="0"/>
    <x v="3"/>
    <x v="2"/>
  </r>
  <r>
    <x v="462"/>
    <x v="47"/>
    <x v="3"/>
    <x v="1"/>
    <x v="7"/>
    <x v="3"/>
    <x v="4"/>
    <x v="1"/>
    <x v="4"/>
    <x v="3"/>
    <x v="43"/>
    <x v="453"/>
    <x v="1"/>
    <x v="461"/>
    <x v="1"/>
    <x v="0"/>
    <x v="1"/>
    <x v="1"/>
    <x v="3"/>
    <x v="1"/>
  </r>
  <r>
    <x v="463"/>
    <x v="266"/>
    <x v="0"/>
    <x v="1"/>
    <x v="43"/>
    <x v="2"/>
    <x v="1"/>
    <x v="0"/>
    <x v="1"/>
    <x v="2"/>
    <x v="7"/>
    <x v="454"/>
    <x v="0"/>
    <x v="462"/>
    <x v="0"/>
    <x v="0"/>
    <x v="0"/>
    <x v="1"/>
    <x v="3"/>
    <x v="2"/>
  </r>
  <r>
    <x v="464"/>
    <x v="267"/>
    <x v="4"/>
    <x v="0"/>
    <x v="42"/>
    <x v="1"/>
    <x v="3"/>
    <x v="1"/>
    <x v="2"/>
    <x v="1"/>
    <x v="10"/>
    <x v="455"/>
    <x v="1"/>
    <x v="463"/>
    <x v="2"/>
    <x v="0"/>
    <x v="1"/>
    <x v="0"/>
    <x v="2"/>
    <x v="2"/>
  </r>
  <r>
    <x v="465"/>
    <x v="233"/>
    <x v="3"/>
    <x v="0"/>
    <x v="34"/>
    <x v="2"/>
    <x v="0"/>
    <x v="3"/>
    <x v="3"/>
    <x v="2"/>
    <x v="37"/>
    <x v="456"/>
    <x v="3"/>
    <x v="464"/>
    <x v="2"/>
    <x v="2"/>
    <x v="1"/>
    <x v="0"/>
    <x v="2"/>
    <x v="2"/>
  </r>
  <r>
    <x v="466"/>
    <x v="226"/>
    <x v="1"/>
    <x v="3"/>
    <x v="38"/>
    <x v="3"/>
    <x v="4"/>
    <x v="1"/>
    <x v="0"/>
    <x v="1"/>
    <x v="13"/>
    <x v="457"/>
    <x v="0"/>
    <x v="465"/>
    <x v="0"/>
    <x v="2"/>
    <x v="1"/>
    <x v="1"/>
    <x v="4"/>
    <x v="2"/>
  </r>
  <r>
    <x v="467"/>
    <x v="141"/>
    <x v="4"/>
    <x v="0"/>
    <x v="11"/>
    <x v="0"/>
    <x v="2"/>
    <x v="1"/>
    <x v="1"/>
    <x v="3"/>
    <x v="19"/>
    <x v="458"/>
    <x v="2"/>
    <x v="466"/>
    <x v="0"/>
    <x v="2"/>
    <x v="0"/>
    <x v="0"/>
    <x v="2"/>
    <x v="0"/>
  </r>
  <r>
    <x v="468"/>
    <x v="268"/>
    <x v="0"/>
    <x v="1"/>
    <x v="14"/>
    <x v="1"/>
    <x v="2"/>
    <x v="1"/>
    <x v="0"/>
    <x v="0"/>
    <x v="39"/>
    <x v="459"/>
    <x v="2"/>
    <x v="467"/>
    <x v="0"/>
    <x v="0"/>
    <x v="1"/>
    <x v="1"/>
    <x v="2"/>
    <x v="2"/>
  </r>
  <r>
    <x v="469"/>
    <x v="194"/>
    <x v="0"/>
    <x v="2"/>
    <x v="7"/>
    <x v="3"/>
    <x v="5"/>
    <x v="3"/>
    <x v="3"/>
    <x v="0"/>
    <x v="45"/>
    <x v="460"/>
    <x v="0"/>
    <x v="468"/>
    <x v="0"/>
    <x v="0"/>
    <x v="1"/>
    <x v="1"/>
    <x v="2"/>
    <x v="2"/>
  </r>
  <r>
    <x v="470"/>
    <x v="194"/>
    <x v="0"/>
    <x v="0"/>
    <x v="49"/>
    <x v="2"/>
    <x v="1"/>
    <x v="1"/>
    <x v="0"/>
    <x v="1"/>
    <x v="13"/>
    <x v="239"/>
    <x v="3"/>
    <x v="469"/>
    <x v="2"/>
    <x v="0"/>
    <x v="0"/>
    <x v="1"/>
    <x v="3"/>
    <x v="2"/>
  </r>
  <r>
    <x v="471"/>
    <x v="29"/>
    <x v="4"/>
    <x v="2"/>
    <x v="18"/>
    <x v="1"/>
    <x v="4"/>
    <x v="1"/>
    <x v="4"/>
    <x v="1"/>
    <x v="28"/>
    <x v="461"/>
    <x v="1"/>
    <x v="470"/>
    <x v="2"/>
    <x v="1"/>
    <x v="0"/>
    <x v="1"/>
    <x v="4"/>
    <x v="2"/>
  </r>
  <r>
    <x v="472"/>
    <x v="81"/>
    <x v="0"/>
    <x v="1"/>
    <x v="16"/>
    <x v="0"/>
    <x v="2"/>
    <x v="1"/>
    <x v="3"/>
    <x v="1"/>
    <x v="19"/>
    <x v="462"/>
    <x v="1"/>
    <x v="471"/>
    <x v="0"/>
    <x v="2"/>
    <x v="1"/>
    <x v="0"/>
    <x v="4"/>
    <x v="1"/>
  </r>
  <r>
    <x v="473"/>
    <x v="84"/>
    <x v="2"/>
    <x v="4"/>
    <x v="30"/>
    <x v="2"/>
    <x v="5"/>
    <x v="1"/>
    <x v="2"/>
    <x v="2"/>
    <x v="24"/>
    <x v="463"/>
    <x v="2"/>
    <x v="472"/>
    <x v="0"/>
    <x v="0"/>
    <x v="0"/>
    <x v="1"/>
    <x v="4"/>
    <x v="2"/>
  </r>
  <r>
    <x v="474"/>
    <x v="210"/>
    <x v="3"/>
    <x v="3"/>
    <x v="16"/>
    <x v="3"/>
    <x v="1"/>
    <x v="0"/>
    <x v="2"/>
    <x v="3"/>
    <x v="30"/>
    <x v="464"/>
    <x v="0"/>
    <x v="473"/>
    <x v="0"/>
    <x v="0"/>
    <x v="0"/>
    <x v="1"/>
    <x v="4"/>
    <x v="2"/>
  </r>
  <r>
    <x v="475"/>
    <x v="157"/>
    <x v="4"/>
    <x v="0"/>
    <x v="39"/>
    <x v="1"/>
    <x v="1"/>
    <x v="2"/>
    <x v="3"/>
    <x v="0"/>
    <x v="27"/>
    <x v="465"/>
    <x v="0"/>
    <x v="474"/>
    <x v="0"/>
    <x v="1"/>
    <x v="1"/>
    <x v="1"/>
    <x v="0"/>
    <x v="2"/>
  </r>
  <r>
    <x v="476"/>
    <x v="236"/>
    <x v="0"/>
    <x v="2"/>
    <x v="34"/>
    <x v="1"/>
    <x v="2"/>
    <x v="3"/>
    <x v="1"/>
    <x v="2"/>
    <x v="32"/>
    <x v="466"/>
    <x v="2"/>
    <x v="475"/>
    <x v="1"/>
    <x v="1"/>
    <x v="0"/>
    <x v="1"/>
    <x v="3"/>
    <x v="1"/>
  </r>
  <r>
    <x v="477"/>
    <x v="110"/>
    <x v="0"/>
    <x v="4"/>
    <x v="47"/>
    <x v="2"/>
    <x v="5"/>
    <x v="3"/>
    <x v="4"/>
    <x v="0"/>
    <x v="28"/>
    <x v="467"/>
    <x v="1"/>
    <x v="476"/>
    <x v="0"/>
    <x v="0"/>
    <x v="0"/>
    <x v="1"/>
    <x v="3"/>
    <x v="1"/>
  </r>
  <r>
    <x v="478"/>
    <x v="180"/>
    <x v="0"/>
    <x v="0"/>
    <x v="7"/>
    <x v="2"/>
    <x v="1"/>
    <x v="1"/>
    <x v="0"/>
    <x v="1"/>
    <x v="23"/>
    <x v="468"/>
    <x v="0"/>
    <x v="477"/>
    <x v="1"/>
    <x v="0"/>
    <x v="1"/>
    <x v="1"/>
    <x v="3"/>
    <x v="0"/>
  </r>
  <r>
    <x v="479"/>
    <x v="60"/>
    <x v="2"/>
    <x v="4"/>
    <x v="30"/>
    <x v="1"/>
    <x v="0"/>
    <x v="1"/>
    <x v="3"/>
    <x v="3"/>
    <x v="38"/>
    <x v="469"/>
    <x v="0"/>
    <x v="478"/>
    <x v="0"/>
    <x v="1"/>
    <x v="1"/>
    <x v="1"/>
    <x v="3"/>
    <x v="2"/>
  </r>
  <r>
    <x v="480"/>
    <x v="10"/>
    <x v="4"/>
    <x v="0"/>
    <x v="11"/>
    <x v="1"/>
    <x v="0"/>
    <x v="0"/>
    <x v="3"/>
    <x v="3"/>
    <x v="13"/>
    <x v="470"/>
    <x v="0"/>
    <x v="479"/>
    <x v="0"/>
    <x v="0"/>
    <x v="1"/>
    <x v="1"/>
    <x v="3"/>
    <x v="1"/>
  </r>
  <r>
    <x v="481"/>
    <x v="117"/>
    <x v="4"/>
    <x v="4"/>
    <x v="31"/>
    <x v="1"/>
    <x v="3"/>
    <x v="1"/>
    <x v="1"/>
    <x v="1"/>
    <x v="22"/>
    <x v="471"/>
    <x v="0"/>
    <x v="480"/>
    <x v="0"/>
    <x v="2"/>
    <x v="0"/>
    <x v="1"/>
    <x v="2"/>
    <x v="2"/>
  </r>
  <r>
    <x v="482"/>
    <x v="237"/>
    <x v="0"/>
    <x v="4"/>
    <x v="49"/>
    <x v="3"/>
    <x v="1"/>
    <x v="3"/>
    <x v="1"/>
    <x v="0"/>
    <x v="28"/>
    <x v="472"/>
    <x v="2"/>
    <x v="481"/>
    <x v="0"/>
    <x v="2"/>
    <x v="1"/>
    <x v="0"/>
    <x v="3"/>
    <x v="0"/>
  </r>
  <r>
    <x v="483"/>
    <x v="57"/>
    <x v="0"/>
    <x v="2"/>
    <x v="21"/>
    <x v="3"/>
    <x v="2"/>
    <x v="3"/>
    <x v="0"/>
    <x v="2"/>
    <x v="25"/>
    <x v="473"/>
    <x v="1"/>
    <x v="482"/>
    <x v="2"/>
    <x v="0"/>
    <x v="1"/>
    <x v="1"/>
    <x v="1"/>
    <x v="1"/>
  </r>
  <r>
    <x v="484"/>
    <x v="180"/>
    <x v="0"/>
    <x v="0"/>
    <x v="38"/>
    <x v="2"/>
    <x v="0"/>
    <x v="0"/>
    <x v="0"/>
    <x v="1"/>
    <x v="7"/>
    <x v="474"/>
    <x v="1"/>
    <x v="483"/>
    <x v="0"/>
    <x v="2"/>
    <x v="1"/>
    <x v="0"/>
    <x v="3"/>
    <x v="2"/>
  </r>
  <r>
    <x v="485"/>
    <x v="269"/>
    <x v="3"/>
    <x v="2"/>
    <x v="13"/>
    <x v="3"/>
    <x v="0"/>
    <x v="0"/>
    <x v="2"/>
    <x v="0"/>
    <x v="11"/>
    <x v="475"/>
    <x v="0"/>
    <x v="484"/>
    <x v="1"/>
    <x v="0"/>
    <x v="1"/>
    <x v="1"/>
    <x v="2"/>
    <x v="1"/>
  </r>
  <r>
    <x v="486"/>
    <x v="270"/>
    <x v="2"/>
    <x v="0"/>
    <x v="5"/>
    <x v="1"/>
    <x v="1"/>
    <x v="0"/>
    <x v="2"/>
    <x v="0"/>
    <x v="22"/>
    <x v="476"/>
    <x v="1"/>
    <x v="485"/>
    <x v="0"/>
    <x v="0"/>
    <x v="0"/>
    <x v="1"/>
    <x v="3"/>
    <x v="2"/>
  </r>
  <r>
    <x v="487"/>
    <x v="251"/>
    <x v="0"/>
    <x v="1"/>
    <x v="32"/>
    <x v="1"/>
    <x v="2"/>
    <x v="1"/>
    <x v="0"/>
    <x v="2"/>
    <x v="28"/>
    <x v="477"/>
    <x v="1"/>
    <x v="486"/>
    <x v="0"/>
    <x v="0"/>
    <x v="1"/>
    <x v="1"/>
    <x v="2"/>
    <x v="1"/>
  </r>
  <r>
    <x v="488"/>
    <x v="115"/>
    <x v="0"/>
    <x v="3"/>
    <x v="27"/>
    <x v="2"/>
    <x v="4"/>
    <x v="1"/>
    <x v="0"/>
    <x v="3"/>
    <x v="32"/>
    <x v="478"/>
    <x v="2"/>
    <x v="487"/>
    <x v="0"/>
    <x v="2"/>
    <x v="0"/>
    <x v="1"/>
    <x v="4"/>
    <x v="1"/>
  </r>
  <r>
    <x v="489"/>
    <x v="265"/>
    <x v="0"/>
    <x v="3"/>
    <x v="17"/>
    <x v="1"/>
    <x v="4"/>
    <x v="0"/>
    <x v="0"/>
    <x v="3"/>
    <x v="29"/>
    <x v="479"/>
    <x v="1"/>
    <x v="488"/>
    <x v="2"/>
    <x v="0"/>
    <x v="1"/>
    <x v="0"/>
    <x v="0"/>
    <x v="2"/>
  </r>
  <r>
    <x v="490"/>
    <x v="85"/>
    <x v="3"/>
    <x v="2"/>
    <x v="15"/>
    <x v="1"/>
    <x v="4"/>
    <x v="1"/>
    <x v="1"/>
    <x v="0"/>
    <x v="17"/>
    <x v="480"/>
    <x v="2"/>
    <x v="489"/>
    <x v="0"/>
    <x v="2"/>
    <x v="1"/>
    <x v="1"/>
    <x v="2"/>
    <x v="1"/>
  </r>
  <r>
    <x v="491"/>
    <x v="74"/>
    <x v="3"/>
    <x v="0"/>
    <x v="14"/>
    <x v="1"/>
    <x v="3"/>
    <x v="0"/>
    <x v="1"/>
    <x v="3"/>
    <x v="31"/>
    <x v="194"/>
    <x v="0"/>
    <x v="490"/>
    <x v="0"/>
    <x v="2"/>
    <x v="1"/>
    <x v="0"/>
    <x v="2"/>
    <x v="2"/>
  </r>
  <r>
    <x v="492"/>
    <x v="117"/>
    <x v="1"/>
    <x v="2"/>
    <x v="2"/>
    <x v="3"/>
    <x v="2"/>
    <x v="0"/>
    <x v="2"/>
    <x v="2"/>
    <x v="12"/>
    <x v="481"/>
    <x v="0"/>
    <x v="491"/>
    <x v="2"/>
    <x v="2"/>
    <x v="1"/>
    <x v="0"/>
    <x v="0"/>
    <x v="1"/>
  </r>
  <r>
    <x v="493"/>
    <x v="92"/>
    <x v="2"/>
    <x v="3"/>
    <x v="40"/>
    <x v="3"/>
    <x v="4"/>
    <x v="1"/>
    <x v="4"/>
    <x v="0"/>
    <x v="9"/>
    <x v="482"/>
    <x v="0"/>
    <x v="492"/>
    <x v="2"/>
    <x v="0"/>
    <x v="0"/>
    <x v="1"/>
    <x v="0"/>
    <x v="2"/>
  </r>
  <r>
    <x v="494"/>
    <x v="34"/>
    <x v="1"/>
    <x v="0"/>
    <x v="9"/>
    <x v="2"/>
    <x v="1"/>
    <x v="0"/>
    <x v="2"/>
    <x v="1"/>
    <x v="42"/>
    <x v="483"/>
    <x v="0"/>
    <x v="493"/>
    <x v="1"/>
    <x v="0"/>
    <x v="1"/>
    <x v="0"/>
    <x v="2"/>
    <x v="0"/>
  </r>
  <r>
    <x v="495"/>
    <x v="218"/>
    <x v="4"/>
    <x v="0"/>
    <x v="17"/>
    <x v="3"/>
    <x v="4"/>
    <x v="3"/>
    <x v="4"/>
    <x v="0"/>
    <x v="13"/>
    <x v="484"/>
    <x v="2"/>
    <x v="494"/>
    <x v="0"/>
    <x v="1"/>
    <x v="1"/>
    <x v="0"/>
    <x v="2"/>
    <x v="2"/>
  </r>
  <r>
    <x v="496"/>
    <x v="271"/>
    <x v="1"/>
    <x v="1"/>
    <x v="5"/>
    <x v="2"/>
    <x v="1"/>
    <x v="1"/>
    <x v="1"/>
    <x v="3"/>
    <x v="1"/>
    <x v="485"/>
    <x v="1"/>
    <x v="495"/>
    <x v="0"/>
    <x v="1"/>
    <x v="1"/>
    <x v="1"/>
    <x v="1"/>
    <x v="2"/>
  </r>
  <r>
    <x v="497"/>
    <x v="134"/>
    <x v="4"/>
    <x v="3"/>
    <x v="28"/>
    <x v="1"/>
    <x v="3"/>
    <x v="1"/>
    <x v="0"/>
    <x v="3"/>
    <x v="21"/>
    <x v="486"/>
    <x v="2"/>
    <x v="496"/>
    <x v="2"/>
    <x v="0"/>
    <x v="1"/>
    <x v="0"/>
    <x v="0"/>
    <x v="1"/>
  </r>
  <r>
    <x v="498"/>
    <x v="58"/>
    <x v="3"/>
    <x v="0"/>
    <x v="25"/>
    <x v="1"/>
    <x v="5"/>
    <x v="2"/>
    <x v="3"/>
    <x v="2"/>
    <x v="40"/>
    <x v="487"/>
    <x v="0"/>
    <x v="497"/>
    <x v="1"/>
    <x v="1"/>
    <x v="1"/>
    <x v="0"/>
    <x v="2"/>
    <x v="1"/>
  </r>
  <r>
    <x v="499"/>
    <x v="156"/>
    <x v="2"/>
    <x v="3"/>
    <x v="0"/>
    <x v="2"/>
    <x v="5"/>
    <x v="1"/>
    <x v="2"/>
    <x v="2"/>
    <x v="11"/>
    <x v="488"/>
    <x v="1"/>
    <x v="498"/>
    <x v="0"/>
    <x v="2"/>
    <x v="1"/>
    <x v="1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7" firstHeaderRow="1" firstDataRow="1" firstDataCol="1"/>
  <pivotFields count="2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>
      <items count="273">
        <item x="116"/>
        <item x="78"/>
        <item x="147"/>
        <item x="139"/>
        <item x="257"/>
        <item x="243"/>
        <item x="199"/>
        <item x="269"/>
        <item x="164"/>
        <item x="253"/>
        <item x="37"/>
        <item x="240"/>
        <item x="117"/>
        <item x="188"/>
        <item x="255"/>
        <item x="107"/>
        <item x="89"/>
        <item x="152"/>
        <item x="239"/>
        <item x="112"/>
        <item x="263"/>
        <item x="230"/>
        <item x="266"/>
        <item x="205"/>
        <item x="244"/>
        <item x="252"/>
        <item x="85"/>
        <item x="160"/>
        <item x="209"/>
        <item x="183"/>
        <item x="29"/>
        <item x="157"/>
        <item x="13"/>
        <item x="61"/>
        <item x="59"/>
        <item x="20"/>
        <item x="223"/>
        <item x="216"/>
        <item x="66"/>
        <item x="141"/>
        <item x="245"/>
        <item x="91"/>
        <item x="69"/>
        <item x="163"/>
        <item x="19"/>
        <item x="118"/>
        <item x="170"/>
        <item x="115"/>
        <item x="14"/>
        <item x="233"/>
        <item x="6"/>
        <item x="111"/>
        <item x="226"/>
        <item x="75"/>
        <item x="77"/>
        <item x="38"/>
        <item x="35"/>
        <item x="151"/>
        <item x="268"/>
        <item x="159"/>
        <item x="70"/>
        <item x="45"/>
        <item x="206"/>
        <item x="135"/>
        <item x="177"/>
        <item x="106"/>
        <item x="256"/>
        <item x="203"/>
        <item x="82"/>
        <item x="258"/>
        <item x="262"/>
        <item x="140"/>
        <item x="179"/>
        <item x="4"/>
        <item x="36"/>
        <item x="202"/>
        <item x="156"/>
        <item x="16"/>
        <item x="24"/>
        <item x="125"/>
        <item x="12"/>
        <item x="44"/>
        <item x="1"/>
        <item x="260"/>
        <item x="23"/>
        <item x="18"/>
        <item x="92"/>
        <item x="41"/>
        <item x="113"/>
        <item x="47"/>
        <item x="193"/>
        <item x="63"/>
        <item x="129"/>
        <item x="254"/>
        <item x="174"/>
        <item x="50"/>
        <item x="146"/>
        <item x="21"/>
        <item x="52"/>
        <item x="195"/>
        <item x="127"/>
        <item x="172"/>
        <item x="65"/>
        <item x="249"/>
        <item x="80"/>
        <item x="49"/>
        <item x="43"/>
        <item x="175"/>
        <item x="34"/>
        <item x="267"/>
        <item x="222"/>
        <item x="81"/>
        <item x="224"/>
        <item x="74"/>
        <item x="225"/>
        <item x="105"/>
        <item x="144"/>
        <item x="235"/>
        <item x="27"/>
        <item x="194"/>
        <item x="162"/>
        <item x="264"/>
        <item x="238"/>
        <item x="2"/>
        <item x="95"/>
        <item x="90"/>
        <item x="87"/>
        <item x="270"/>
        <item x="213"/>
        <item x="218"/>
        <item x="88"/>
        <item x="97"/>
        <item x="197"/>
        <item x="22"/>
        <item x="93"/>
        <item x="137"/>
        <item x="211"/>
        <item x="186"/>
        <item x="64"/>
        <item x="26"/>
        <item x="148"/>
        <item x="241"/>
        <item x="166"/>
        <item x="114"/>
        <item x="149"/>
        <item x="191"/>
        <item x="138"/>
        <item x="169"/>
        <item x="128"/>
        <item x="119"/>
        <item x="236"/>
        <item x="228"/>
        <item x="136"/>
        <item x="201"/>
        <item x="72"/>
        <item x="28"/>
        <item x="51"/>
        <item x="40"/>
        <item x="143"/>
        <item x="104"/>
        <item x="99"/>
        <item x="168"/>
        <item x="71"/>
        <item x="126"/>
        <item x="248"/>
        <item x="73"/>
        <item x="56"/>
        <item x="250"/>
        <item x="182"/>
        <item x="247"/>
        <item x="31"/>
        <item x="155"/>
        <item x="83"/>
        <item x="153"/>
        <item x="237"/>
        <item x="259"/>
        <item x="210"/>
        <item x="46"/>
        <item x="15"/>
        <item x="10"/>
        <item x="142"/>
        <item x="133"/>
        <item x="100"/>
        <item x="246"/>
        <item x="79"/>
        <item x="102"/>
        <item x="171"/>
        <item x="196"/>
        <item x="227"/>
        <item x="98"/>
        <item x="32"/>
        <item x="130"/>
        <item x="217"/>
        <item x="62"/>
        <item x="123"/>
        <item x="176"/>
        <item x="232"/>
        <item x="9"/>
        <item x="121"/>
        <item x="94"/>
        <item x="192"/>
        <item x="178"/>
        <item x="212"/>
        <item x="55"/>
        <item x="242"/>
        <item x="109"/>
        <item x="231"/>
        <item x="251"/>
        <item x="154"/>
        <item x="39"/>
        <item x="161"/>
        <item x="108"/>
        <item x="58"/>
        <item x="120"/>
        <item x="101"/>
        <item x="3"/>
        <item x="198"/>
        <item x="67"/>
        <item x="57"/>
        <item x="271"/>
        <item x="261"/>
        <item x="219"/>
        <item x="42"/>
        <item x="214"/>
        <item x="173"/>
        <item x="200"/>
        <item x="207"/>
        <item x="165"/>
        <item x="229"/>
        <item x="48"/>
        <item x="150"/>
        <item x="84"/>
        <item x="187"/>
        <item x="103"/>
        <item x="215"/>
        <item x="54"/>
        <item x="221"/>
        <item x="124"/>
        <item x="7"/>
        <item x="265"/>
        <item x="86"/>
        <item x="220"/>
        <item x="167"/>
        <item x="0"/>
        <item x="8"/>
        <item x="158"/>
        <item x="190"/>
        <item x="60"/>
        <item x="189"/>
        <item x="132"/>
        <item x="208"/>
        <item x="184"/>
        <item x="131"/>
        <item x="96"/>
        <item x="53"/>
        <item x="181"/>
        <item x="11"/>
        <item x="110"/>
        <item x="17"/>
        <item x="204"/>
        <item x="25"/>
        <item x="122"/>
        <item x="5"/>
        <item x="68"/>
        <item x="180"/>
        <item x="145"/>
        <item x="30"/>
        <item x="234"/>
        <item x="76"/>
        <item x="33"/>
        <item x="185"/>
        <item x="134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0"/>
        <item x="4"/>
        <item x="1"/>
        <item x="2"/>
        <item x="3"/>
        <item t="default"/>
      </items>
    </pivotField>
    <pivotField compact="0" showAll="0">
      <items count="51">
        <item x="9"/>
        <item x="17"/>
        <item x="46"/>
        <item x="18"/>
        <item x="27"/>
        <item x="36"/>
        <item x="33"/>
        <item x="6"/>
        <item x="20"/>
        <item x="14"/>
        <item x="8"/>
        <item x="1"/>
        <item x="40"/>
        <item x="34"/>
        <item x="12"/>
        <item x="13"/>
        <item x="42"/>
        <item x="2"/>
        <item x="15"/>
        <item x="23"/>
        <item x="29"/>
        <item x="11"/>
        <item x="44"/>
        <item x="19"/>
        <item x="41"/>
        <item x="31"/>
        <item x="37"/>
        <item x="25"/>
        <item x="47"/>
        <item x="22"/>
        <item x="26"/>
        <item x="24"/>
        <item x="21"/>
        <item x="43"/>
        <item x="49"/>
        <item x="30"/>
        <item x="35"/>
        <item x="38"/>
        <item x="7"/>
        <item x="4"/>
        <item x="28"/>
        <item x="39"/>
        <item x="0"/>
        <item x="10"/>
        <item x="3"/>
        <item x="5"/>
        <item x="48"/>
        <item x="32"/>
        <item x="45"/>
        <item x="16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7">
        <item x="5"/>
        <item x="3"/>
        <item x="0"/>
        <item x="2"/>
        <item x="1"/>
        <item x="4"/>
        <item t="default"/>
      </items>
    </pivotField>
    <pivotField axis="axisRow" compact="0" multipleItemSelectionAllowed="1" showAll="0">
      <items count="5">
        <item x="2"/>
        <item x="3"/>
        <item x="0"/>
        <item x="1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1">
        <item x="23"/>
        <item x="18"/>
        <item x="2"/>
        <item x="13"/>
        <item x="11"/>
        <item x="20"/>
        <item x="35"/>
        <item x="36"/>
        <item x="43"/>
        <item x="38"/>
        <item x="28"/>
        <item x="49"/>
        <item x="47"/>
        <item x="12"/>
        <item x="3"/>
        <item x="44"/>
        <item x="10"/>
        <item x="5"/>
        <item x="30"/>
        <item x="40"/>
        <item x="45"/>
        <item x="32"/>
        <item x="42"/>
        <item x="9"/>
        <item x="33"/>
        <item x="26"/>
        <item x="29"/>
        <item x="37"/>
        <item x="1"/>
        <item x="24"/>
        <item x="21"/>
        <item x="19"/>
        <item x="8"/>
        <item x="39"/>
        <item x="4"/>
        <item x="16"/>
        <item x="41"/>
        <item x="6"/>
        <item x="7"/>
        <item x="14"/>
        <item x="46"/>
        <item x="31"/>
        <item x="17"/>
        <item x="0"/>
        <item x="34"/>
        <item x="22"/>
        <item x="25"/>
        <item x="48"/>
        <item x="15"/>
        <item x="27"/>
        <item t="default"/>
      </items>
    </pivotField>
    <pivotField compact="0" showAll="0">
      <items count="490">
        <item x="343"/>
        <item x="232"/>
        <item x="156"/>
        <item x="282"/>
        <item x="98"/>
        <item x="36"/>
        <item x="234"/>
        <item x="349"/>
        <item x="334"/>
        <item x="397"/>
        <item x="486"/>
        <item x="70"/>
        <item x="60"/>
        <item x="284"/>
        <item x="386"/>
        <item x="322"/>
        <item x="205"/>
        <item x="119"/>
        <item x="270"/>
        <item x="112"/>
        <item x="264"/>
        <item x="74"/>
        <item x="29"/>
        <item x="152"/>
        <item x="198"/>
        <item x="476"/>
        <item x="78"/>
        <item x="417"/>
        <item x="471"/>
        <item x="388"/>
        <item x="260"/>
        <item x="5"/>
        <item x="286"/>
        <item x="185"/>
        <item x="380"/>
        <item x="211"/>
        <item x="429"/>
        <item x="93"/>
        <item x="150"/>
        <item x="298"/>
        <item x="344"/>
        <item x="230"/>
        <item x="17"/>
        <item x="400"/>
        <item x="385"/>
        <item x="261"/>
        <item x="413"/>
        <item x="228"/>
        <item x="116"/>
        <item x="481"/>
        <item x="179"/>
        <item x="180"/>
        <item x="195"/>
        <item x="236"/>
        <item x="173"/>
        <item x="241"/>
        <item x="443"/>
        <item x="159"/>
        <item x="316"/>
        <item x="235"/>
        <item x="25"/>
        <item x="338"/>
        <item x="82"/>
        <item x="458"/>
        <item x="37"/>
        <item x="265"/>
        <item x="353"/>
        <item x="262"/>
        <item x="50"/>
        <item x="106"/>
        <item x="274"/>
        <item x="379"/>
        <item x="420"/>
        <item x="321"/>
        <item x="424"/>
        <item x="188"/>
        <item x="80"/>
        <item x="426"/>
        <item x="360"/>
        <item x="381"/>
        <item x="206"/>
        <item x="216"/>
        <item x="325"/>
        <item x="75"/>
        <item x="146"/>
        <item x="460"/>
        <item x="81"/>
        <item x="299"/>
        <item x="200"/>
        <item x="434"/>
        <item x="455"/>
        <item x="169"/>
        <item x="73"/>
        <item x="374"/>
        <item x="30"/>
        <item x="204"/>
        <item x="279"/>
        <item x="327"/>
        <item x="468"/>
        <item x="24"/>
        <item x="171"/>
        <item x="38"/>
        <item x="449"/>
        <item x="194"/>
        <item x="365"/>
        <item x="223"/>
        <item x="33"/>
        <item x="209"/>
        <item x="28"/>
        <item x="275"/>
        <item x="307"/>
        <item x="34"/>
        <item x="132"/>
        <item x="457"/>
        <item x="428"/>
        <item x="148"/>
        <item x="312"/>
        <item x="126"/>
        <item x="196"/>
        <item x="69"/>
        <item x="48"/>
        <item x="244"/>
        <item x="440"/>
        <item x="444"/>
        <item x="183"/>
        <item x="163"/>
        <item x="191"/>
        <item x="221"/>
        <item x="253"/>
        <item x="111"/>
        <item x="394"/>
        <item x="259"/>
        <item x="482"/>
        <item x="450"/>
        <item x="256"/>
        <item x="197"/>
        <item x="436"/>
        <item x="158"/>
        <item x="402"/>
        <item x="189"/>
        <item x="357"/>
        <item x="218"/>
        <item x="79"/>
        <item x="95"/>
        <item x="456"/>
        <item x="285"/>
        <item x="127"/>
        <item x="478"/>
        <item x="472"/>
        <item x="115"/>
        <item x="45"/>
        <item x="102"/>
        <item x="487"/>
        <item x="213"/>
        <item x="64"/>
        <item x="215"/>
        <item x="483"/>
        <item x="350"/>
        <item x="333"/>
        <item x="431"/>
        <item x="122"/>
        <item x="160"/>
        <item x="107"/>
        <item x="377"/>
        <item x="446"/>
        <item x="207"/>
        <item x="114"/>
        <item x="306"/>
        <item x="53"/>
        <item x="271"/>
        <item x="61"/>
        <item x="297"/>
        <item x="168"/>
        <item x="72"/>
        <item x="103"/>
        <item x="52"/>
        <item x="470"/>
        <item x="323"/>
        <item x="32"/>
        <item x="475"/>
        <item x="11"/>
        <item x="422"/>
        <item x="182"/>
        <item x="157"/>
        <item x="359"/>
        <item x="411"/>
        <item x="268"/>
        <item x="296"/>
        <item x="258"/>
        <item x="273"/>
        <item x="90"/>
        <item x="304"/>
        <item x="164"/>
        <item x="97"/>
        <item x="210"/>
        <item x="342"/>
        <item x="181"/>
        <item x="170"/>
        <item x="445"/>
        <item x="184"/>
        <item x="461"/>
        <item x="137"/>
        <item x="326"/>
        <item x="250"/>
        <item x="6"/>
        <item x="13"/>
        <item x="42"/>
        <item x="452"/>
        <item x="320"/>
        <item x="176"/>
        <item x="217"/>
        <item x="141"/>
        <item x="447"/>
        <item x="162"/>
        <item x="280"/>
        <item x="104"/>
        <item x="484"/>
        <item x="433"/>
        <item x="117"/>
        <item x="26"/>
        <item x="294"/>
        <item x="231"/>
        <item x="40"/>
        <item x="416"/>
        <item x="85"/>
        <item x="54"/>
        <item x="139"/>
        <item x="242"/>
        <item x="462"/>
        <item x="31"/>
        <item x="222"/>
        <item x="133"/>
        <item x="105"/>
        <item x="76"/>
        <item x="319"/>
        <item x="129"/>
        <item x="84"/>
        <item x="88"/>
        <item x="401"/>
        <item x="376"/>
        <item x="317"/>
        <item x="308"/>
        <item x="336"/>
        <item x="469"/>
        <item x="277"/>
        <item x="151"/>
        <item x="16"/>
        <item x="351"/>
        <item x="124"/>
        <item x="396"/>
        <item x="331"/>
        <item x="337"/>
        <item x="412"/>
        <item x="46"/>
        <item x="474"/>
        <item x="451"/>
        <item x="364"/>
        <item x="83"/>
        <item x="293"/>
        <item x="438"/>
        <item x="269"/>
        <item x="465"/>
        <item x="86"/>
        <item x="233"/>
        <item x="356"/>
        <item x="406"/>
        <item x="165"/>
        <item x="140"/>
        <item x="47"/>
        <item x="329"/>
        <item x="303"/>
        <item x="301"/>
        <item x="10"/>
        <item x="43"/>
        <item x="384"/>
        <item x="352"/>
        <item x="172"/>
        <item x="12"/>
        <item x="314"/>
        <item x="367"/>
        <item x="118"/>
        <item x="257"/>
        <item x="57"/>
        <item x="212"/>
        <item x="142"/>
        <item x="92"/>
        <item x="295"/>
        <item x="87"/>
        <item x="324"/>
        <item x="335"/>
        <item x="128"/>
        <item x="464"/>
        <item x="442"/>
        <item x="435"/>
        <item x="448"/>
        <item x="370"/>
        <item x="345"/>
        <item x="399"/>
        <item x="395"/>
        <item x="101"/>
        <item x="134"/>
        <item x="340"/>
        <item x="1"/>
        <item x="311"/>
        <item x="99"/>
        <item x="208"/>
        <item x="167"/>
        <item x="174"/>
        <item x="201"/>
        <item x="362"/>
        <item x="405"/>
        <item x="251"/>
        <item x="393"/>
        <item x="186"/>
        <item x="136"/>
        <item x="35"/>
        <item x="407"/>
        <item x="403"/>
        <item x="305"/>
        <item x="341"/>
        <item x="89"/>
        <item x="14"/>
        <item x="382"/>
        <item x="131"/>
        <item x="330"/>
        <item x="266"/>
        <item x="467"/>
        <item x="177"/>
        <item x="309"/>
        <item x="238"/>
        <item x="130"/>
        <item x="363"/>
        <item x="246"/>
        <item x="51"/>
        <item x="143"/>
        <item x="190"/>
        <item x="378"/>
        <item x="290"/>
        <item x="94"/>
        <item x="463"/>
        <item x="355"/>
        <item x="62"/>
        <item x="315"/>
        <item x="332"/>
        <item x="225"/>
        <item x="276"/>
        <item x="20"/>
        <item x="485"/>
        <item x="292"/>
        <item x="313"/>
        <item x="423"/>
        <item x="255"/>
        <item x="281"/>
        <item x="21"/>
        <item x="473"/>
        <item x="427"/>
        <item x="368"/>
        <item x="149"/>
        <item x="91"/>
        <item x="318"/>
        <item x="227"/>
        <item x="243"/>
        <item x="477"/>
        <item x="4"/>
        <item x="2"/>
        <item x="372"/>
        <item x="387"/>
        <item x="44"/>
        <item x="328"/>
        <item x="0"/>
        <item x="220"/>
        <item x="252"/>
        <item x="27"/>
        <item x="302"/>
        <item x="346"/>
        <item x="291"/>
        <item x="214"/>
        <item x="375"/>
        <item x="65"/>
        <item x="8"/>
        <item x="96"/>
        <item x="459"/>
        <item x="161"/>
        <item x="154"/>
        <item x="300"/>
        <item x="155"/>
        <item x="56"/>
        <item x="193"/>
        <item x="383"/>
        <item x="202"/>
        <item x="254"/>
        <item x="354"/>
        <item x="175"/>
        <item x="49"/>
        <item x="67"/>
        <item x="147"/>
        <item x="437"/>
        <item x="166"/>
        <item x="239"/>
        <item x="113"/>
        <item x="226"/>
        <item x="391"/>
        <item x="203"/>
        <item x="240"/>
        <item x="135"/>
        <item x="272"/>
        <item x="369"/>
        <item x="263"/>
        <item x="199"/>
        <item x="248"/>
        <item x="418"/>
        <item x="339"/>
        <item x="120"/>
        <item x="247"/>
        <item x="77"/>
        <item x="55"/>
        <item x="288"/>
        <item x="414"/>
        <item x="415"/>
        <item x="153"/>
        <item x="389"/>
        <item x="219"/>
        <item x="192"/>
        <item x="361"/>
        <item x="348"/>
        <item x="39"/>
        <item x="41"/>
        <item x="109"/>
        <item x="224"/>
        <item x="441"/>
        <item x="347"/>
        <item x="439"/>
        <item x="287"/>
        <item x="310"/>
        <item x="23"/>
        <item x="3"/>
        <item x="488"/>
        <item x="59"/>
        <item x="453"/>
        <item x="278"/>
        <item x="66"/>
        <item x="110"/>
        <item x="9"/>
        <item x="430"/>
        <item x="145"/>
        <item x="68"/>
        <item x="229"/>
        <item x="419"/>
        <item x="371"/>
        <item x="358"/>
        <item x="178"/>
        <item x="410"/>
        <item x="404"/>
        <item x="22"/>
        <item x="421"/>
        <item x="108"/>
        <item x="479"/>
        <item x="480"/>
        <item x="125"/>
        <item x="390"/>
        <item x="15"/>
        <item x="249"/>
        <item x="18"/>
        <item x="138"/>
        <item x="454"/>
        <item x="63"/>
        <item x="289"/>
        <item x="71"/>
        <item x="392"/>
        <item x="100"/>
        <item x="187"/>
        <item x="123"/>
        <item x="267"/>
        <item x="283"/>
        <item x="466"/>
        <item x="121"/>
        <item x="366"/>
        <item x="398"/>
        <item x="408"/>
        <item x="432"/>
        <item x="237"/>
        <item x="409"/>
        <item x="245"/>
        <item x="19"/>
        <item x="425"/>
        <item x="58"/>
        <item x="373"/>
        <item x="7"/>
        <item x="144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dataField="1" compact="0" showAll="0">
      <items count="500">
        <item x="391"/>
        <item x="29"/>
        <item x="477"/>
        <item x="119"/>
        <item x="116"/>
        <item x="156"/>
        <item x="206"/>
        <item x="262"/>
        <item x="98"/>
        <item x="73"/>
        <item x="25"/>
        <item x="106"/>
        <item x="276"/>
        <item x="83"/>
        <item x="305"/>
        <item x="448"/>
        <item x="353"/>
        <item x="324"/>
        <item x="300"/>
        <item x="347"/>
        <item x="414"/>
        <item x="265"/>
        <item x="402"/>
        <item x="200"/>
        <item x="39"/>
        <item x="80"/>
        <item x="84"/>
        <item x="33"/>
        <item x="102"/>
        <item x="465"/>
        <item x="61"/>
        <item x="424"/>
        <item x="222"/>
        <item x="93"/>
        <item x="115"/>
        <item x="386"/>
        <item x="70"/>
        <item x="479"/>
        <item x="434"/>
        <item x="451"/>
        <item x="277"/>
        <item x="302"/>
        <item x="426"/>
        <item x="242"/>
        <item x="152"/>
        <item x="354"/>
        <item x="270"/>
        <item x="194"/>
        <item x="111"/>
        <item x="13"/>
        <item x="494"/>
        <item x="484"/>
        <item x="11"/>
        <item x="69"/>
        <item x="491"/>
        <item x="318"/>
        <item x="213"/>
        <item x="81"/>
        <item x="5"/>
        <item x="272"/>
        <item x="405"/>
        <item x="266"/>
        <item x="171"/>
        <item x="36"/>
        <item x="2"/>
        <item x="392"/>
        <item x="284"/>
        <item x="157"/>
        <item x="233"/>
        <item x="428"/>
        <item x="97"/>
        <item x="179"/>
        <item x="496"/>
        <item x="183"/>
        <item x="204"/>
        <item x="14"/>
        <item x="22"/>
        <item x="158"/>
        <item x="205"/>
        <item x="85"/>
        <item x="364"/>
        <item x="60"/>
        <item x="319"/>
        <item x="48"/>
        <item x="337"/>
        <item x="439"/>
        <item x="198"/>
        <item x="369"/>
        <item x="441"/>
        <item x="117"/>
        <item x="469"/>
        <item x="150"/>
        <item x="30"/>
        <item x="227"/>
        <item x="203"/>
        <item x="112"/>
        <item x="235"/>
        <item x="361"/>
        <item x="312"/>
        <item x="218"/>
        <item x="481"/>
        <item x="463"/>
        <item x="348"/>
        <item x="74"/>
        <item x="338"/>
        <item x="146"/>
        <item x="286"/>
        <item x="219"/>
        <item x="360"/>
        <item x="458"/>
        <item x="281"/>
        <item x="186"/>
        <item x="35"/>
        <item x="468"/>
        <item x="173"/>
        <item x="292"/>
        <item x="390"/>
        <item x="393"/>
        <item x="209"/>
        <item x="288"/>
        <item x="275"/>
        <item x="82"/>
        <item x="498"/>
        <item x="485"/>
        <item x="457"/>
        <item x="159"/>
        <item x="261"/>
        <item x="308"/>
        <item x="470"/>
        <item x="78"/>
        <item x="442"/>
        <item x="96"/>
        <item x="155"/>
        <item x="450"/>
        <item x="100"/>
        <item x="419"/>
        <item x="67"/>
        <item x="50"/>
        <item x="196"/>
        <item x="303"/>
        <item x="480"/>
        <item x="328"/>
        <item x="478"/>
        <item x="466"/>
        <item x="77"/>
        <item x="17"/>
        <item x="320"/>
        <item x="342"/>
        <item x="460"/>
        <item x="330"/>
        <item x="195"/>
        <item x="380"/>
        <item x="72"/>
        <item x="301"/>
        <item x="229"/>
        <item x="211"/>
        <item x="444"/>
        <item x="325"/>
        <item x="245"/>
        <item x="185"/>
        <item x="191"/>
        <item x="437"/>
        <item x="385"/>
        <item x="331"/>
        <item x="279"/>
        <item x="323"/>
        <item x="53"/>
        <item x="432"/>
        <item x="181"/>
        <item x="237"/>
        <item x="357"/>
        <item x="295"/>
        <item x="231"/>
        <item x="180"/>
        <item x="236"/>
        <item x="497"/>
        <item x="32"/>
        <item x="387"/>
        <item x="418"/>
        <item x="127"/>
        <item x="384"/>
        <item x="37"/>
        <item x="174"/>
        <item x="487"/>
        <item x="492"/>
        <item x="263"/>
        <item x="429"/>
        <item x="260"/>
        <item x="372"/>
        <item x="476"/>
        <item x="75"/>
        <item x="208"/>
        <item x="71"/>
        <item x="411"/>
        <item x="165"/>
        <item x="215"/>
        <item x="493"/>
        <item x="251"/>
        <item x="336"/>
        <item x="217"/>
        <item x="246"/>
        <item x="12"/>
        <item x="461"/>
        <item x="110"/>
        <item x="408"/>
        <item x="399"/>
        <item x="486"/>
        <item x="309"/>
        <item x="299"/>
        <item x="34"/>
        <item x="188"/>
        <item x="172"/>
        <item x="378"/>
        <item x="169"/>
        <item x="436"/>
        <item x="168"/>
        <item x="189"/>
        <item x="259"/>
        <item x="314"/>
        <item x="54"/>
        <item x="464"/>
        <item x="252"/>
        <item x="197"/>
        <item x="107"/>
        <item x="10"/>
        <item x="298"/>
        <item x="316"/>
        <item x="90"/>
        <item x="88"/>
        <item x="20"/>
        <item x="52"/>
        <item x="297"/>
        <item x="24"/>
        <item x="421"/>
        <item x="122"/>
        <item x="366"/>
        <item x="490"/>
        <item x="455"/>
        <item x="216"/>
        <item x="132"/>
        <item x="44"/>
        <item x="322"/>
        <item x="124"/>
        <item x="334"/>
        <item x="160"/>
        <item x="199"/>
        <item x="257"/>
        <item x="224"/>
        <item x="368"/>
        <item x="105"/>
        <item x="38"/>
        <item x="26"/>
        <item x="148"/>
        <item x="126"/>
        <item x="182"/>
        <item x="28"/>
        <item x="473"/>
        <item x="417"/>
        <item x="269"/>
        <item x="291"/>
        <item x="131"/>
        <item x="293"/>
        <item x="287"/>
        <item x="92"/>
        <item x="164"/>
        <item x="45"/>
        <item x="128"/>
        <item x="139"/>
        <item x="138"/>
        <item x="443"/>
        <item x="452"/>
        <item x="456"/>
        <item x="91"/>
        <item x="57"/>
        <item x="307"/>
        <item x="243"/>
        <item x="254"/>
        <item x="214"/>
        <item x="113"/>
        <item x="3"/>
        <item x="184"/>
        <item x="389"/>
        <item x="76"/>
        <item x="46"/>
        <item x="49"/>
        <item x="329"/>
        <item x="40"/>
        <item x="226"/>
        <item x="135"/>
        <item x="56"/>
        <item x="210"/>
        <item x="163"/>
        <item x="454"/>
        <item x="430"/>
        <item x="306"/>
        <item x="406"/>
        <item x="207"/>
        <item x="294"/>
        <item x="346"/>
        <item x="137"/>
        <item x="395"/>
        <item x="64"/>
        <item x="453"/>
        <item x="407"/>
        <item x="273"/>
        <item x="471"/>
        <item x="220"/>
        <item x="170"/>
        <item x="103"/>
        <item x="381"/>
        <item x="79"/>
        <item x="363"/>
        <item x="142"/>
        <item x="271"/>
        <item x="15"/>
        <item x="282"/>
        <item x="95"/>
        <item x="371"/>
        <item x="340"/>
        <item x="335"/>
        <item x="133"/>
        <item x="114"/>
        <item x="228"/>
        <item x="6"/>
        <item x="121"/>
        <item x="296"/>
        <item x="94"/>
        <item x="404"/>
        <item x="31"/>
        <item x="431"/>
        <item x="109"/>
        <item x="423"/>
        <item x="143"/>
        <item x="310"/>
        <item x="425"/>
        <item x="1"/>
        <item x="394"/>
        <item x="130"/>
        <item x="151"/>
        <item x="86"/>
        <item x="176"/>
        <item x="447"/>
        <item x="326"/>
        <item x="223"/>
        <item x="232"/>
        <item x="445"/>
        <item x="410"/>
        <item x="433"/>
        <item x="274"/>
        <item x="358"/>
        <item x="16"/>
        <item x="332"/>
        <item x="248"/>
        <item x="401"/>
        <item x="446"/>
        <item x="240"/>
        <item x="99"/>
        <item x="241"/>
        <item x="178"/>
        <item x="202"/>
        <item x="43"/>
        <item x="141"/>
        <item x="356"/>
        <item x="123"/>
        <item x="333"/>
        <item x="268"/>
        <item x="483"/>
        <item x="221"/>
        <item x="495"/>
        <item x="42"/>
        <item x="327"/>
        <item x="341"/>
        <item x="409"/>
        <item x="472"/>
        <item x="162"/>
        <item x="383"/>
        <item x="374"/>
        <item x="280"/>
        <item x="258"/>
        <item x="9"/>
        <item x="475"/>
        <item x="104"/>
        <item x="125"/>
        <item x="321"/>
        <item x="225"/>
        <item x="264"/>
        <item x="355"/>
        <item x="412"/>
        <item x="400"/>
        <item x="129"/>
        <item x="459"/>
        <item x="350"/>
        <item x="339"/>
        <item x="311"/>
        <item x="413"/>
        <item x="140"/>
        <item x="359"/>
        <item x="59"/>
        <item x="317"/>
        <item x="379"/>
        <item x="58"/>
        <item x="89"/>
        <item x="438"/>
        <item x="488"/>
        <item x="315"/>
        <item x="249"/>
        <item x="149"/>
        <item x="239"/>
        <item x="201"/>
        <item x="8"/>
        <item x="190"/>
        <item x="234"/>
        <item x="365"/>
        <item x="349"/>
        <item x="21"/>
        <item x="212"/>
        <item x="427"/>
        <item x="4"/>
        <item x="255"/>
        <item x="474"/>
        <item x="467"/>
        <item x="47"/>
        <item x="41"/>
        <item x="63"/>
        <item x="120"/>
        <item x="376"/>
        <item x="313"/>
        <item x="230"/>
        <item x="134"/>
        <item x="177"/>
        <item x="416"/>
        <item x="62"/>
        <item x="118"/>
        <item x="87"/>
        <item x="247"/>
        <item x="267"/>
        <item x="145"/>
        <item x="256"/>
        <item x="367"/>
        <item x="373"/>
        <item x="345"/>
        <item x="101"/>
        <item x="344"/>
        <item x="167"/>
        <item x="154"/>
        <item x="375"/>
        <item x="420"/>
        <item x="66"/>
        <item x="153"/>
        <item x="304"/>
        <item x="244"/>
        <item x="398"/>
        <item x="278"/>
        <item x="136"/>
        <item x="289"/>
        <item x="238"/>
        <item x="0"/>
        <item x="352"/>
        <item x="253"/>
        <item x="27"/>
        <item x="51"/>
        <item x="65"/>
        <item x="250"/>
        <item x="482"/>
        <item x="415"/>
        <item x="161"/>
        <item x="422"/>
        <item x="382"/>
        <item x="370"/>
        <item x="55"/>
        <item x="68"/>
        <item x="166"/>
        <item x="435"/>
        <item x="362"/>
        <item x="403"/>
        <item x="283"/>
        <item x="449"/>
        <item x="462"/>
        <item x="396"/>
        <item x="440"/>
        <item x="388"/>
        <item x="23"/>
        <item x="290"/>
        <item x="147"/>
        <item x="397"/>
        <item x="7"/>
        <item x="351"/>
        <item x="175"/>
        <item x="193"/>
        <item x="19"/>
        <item x="489"/>
        <item x="108"/>
        <item x="343"/>
        <item x="377"/>
        <item x="192"/>
        <item x="285"/>
        <item x="187"/>
        <item x="18"/>
        <item x="144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_Amoun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D3:E8" firstHeaderRow="1" firstDataRow="1" firstDataCol="1"/>
  <pivotFields count="2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>
      <items count="273">
        <item x="116"/>
        <item x="78"/>
        <item x="147"/>
        <item x="139"/>
        <item x="257"/>
        <item x="243"/>
        <item x="199"/>
        <item x="269"/>
        <item x="164"/>
        <item x="253"/>
        <item x="37"/>
        <item x="240"/>
        <item x="117"/>
        <item x="188"/>
        <item x="255"/>
        <item x="107"/>
        <item x="89"/>
        <item x="152"/>
        <item x="239"/>
        <item x="112"/>
        <item x="263"/>
        <item x="230"/>
        <item x="266"/>
        <item x="205"/>
        <item x="244"/>
        <item x="252"/>
        <item x="85"/>
        <item x="160"/>
        <item x="209"/>
        <item x="183"/>
        <item x="29"/>
        <item x="157"/>
        <item x="13"/>
        <item x="61"/>
        <item x="59"/>
        <item x="20"/>
        <item x="223"/>
        <item x="216"/>
        <item x="66"/>
        <item x="141"/>
        <item x="245"/>
        <item x="91"/>
        <item x="69"/>
        <item x="163"/>
        <item x="19"/>
        <item x="118"/>
        <item x="170"/>
        <item x="115"/>
        <item x="14"/>
        <item x="233"/>
        <item x="6"/>
        <item x="111"/>
        <item x="226"/>
        <item x="75"/>
        <item x="77"/>
        <item x="38"/>
        <item x="35"/>
        <item x="151"/>
        <item x="268"/>
        <item x="159"/>
        <item x="70"/>
        <item x="45"/>
        <item x="206"/>
        <item x="135"/>
        <item x="177"/>
        <item x="106"/>
        <item x="256"/>
        <item x="203"/>
        <item x="82"/>
        <item x="258"/>
        <item x="262"/>
        <item x="140"/>
        <item x="179"/>
        <item x="4"/>
        <item x="36"/>
        <item x="202"/>
        <item x="156"/>
        <item x="16"/>
        <item x="24"/>
        <item x="125"/>
        <item x="12"/>
        <item x="44"/>
        <item x="1"/>
        <item x="260"/>
        <item x="23"/>
        <item x="18"/>
        <item x="92"/>
        <item x="41"/>
        <item x="113"/>
        <item x="47"/>
        <item x="193"/>
        <item x="63"/>
        <item x="129"/>
        <item x="254"/>
        <item x="174"/>
        <item x="50"/>
        <item x="146"/>
        <item x="21"/>
        <item x="52"/>
        <item x="195"/>
        <item x="127"/>
        <item x="172"/>
        <item x="65"/>
        <item x="249"/>
        <item x="80"/>
        <item x="49"/>
        <item x="43"/>
        <item x="175"/>
        <item x="34"/>
        <item x="267"/>
        <item x="222"/>
        <item x="81"/>
        <item x="224"/>
        <item x="74"/>
        <item x="225"/>
        <item x="105"/>
        <item x="144"/>
        <item x="235"/>
        <item x="27"/>
        <item x="194"/>
        <item x="162"/>
        <item x="264"/>
        <item x="238"/>
        <item x="2"/>
        <item x="95"/>
        <item x="90"/>
        <item x="87"/>
        <item x="270"/>
        <item x="213"/>
        <item x="218"/>
        <item x="88"/>
        <item x="97"/>
        <item x="197"/>
        <item x="22"/>
        <item x="93"/>
        <item x="137"/>
        <item x="211"/>
        <item x="186"/>
        <item x="64"/>
        <item x="26"/>
        <item x="148"/>
        <item x="241"/>
        <item x="166"/>
        <item x="114"/>
        <item x="149"/>
        <item x="191"/>
        <item x="138"/>
        <item x="169"/>
        <item x="128"/>
        <item x="119"/>
        <item x="236"/>
        <item x="228"/>
        <item x="136"/>
        <item x="201"/>
        <item x="72"/>
        <item x="28"/>
        <item x="51"/>
        <item x="40"/>
        <item x="143"/>
        <item x="104"/>
        <item x="99"/>
        <item x="168"/>
        <item x="71"/>
        <item x="126"/>
        <item x="248"/>
        <item x="73"/>
        <item x="56"/>
        <item x="250"/>
        <item x="182"/>
        <item x="247"/>
        <item x="31"/>
        <item x="155"/>
        <item x="83"/>
        <item x="153"/>
        <item x="237"/>
        <item x="259"/>
        <item x="210"/>
        <item x="46"/>
        <item x="15"/>
        <item x="10"/>
        <item x="142"/>
        <item x="133"/>
        <item x="100"/>
        <item x="246"/>
        <item x="79"/>
        <item x="102"/>
        <item x="171"/>
        <item x="196"/>
        <item x="227"/>
        <item x="98"/>
        <item x="32"/>
        <item x="130"/>
        <item x="217"/>
        <item x="62"/>
        <item x="123"/>
        <item x="176"/>
        <item x="232"/>
        <item x="9"/>
        <item x="121"/>
        <item x="94"/>
        <item x="192"/>
        <item x="178"/>
        <item x="212"/>
        <item x="55"/>
        <item x="242"/>
        <item x="109"/>
        <item x="231"/>
        <item x="251"/>
        <item x="154"/>
        <item x="39"/>
        <item x="161"/>
        <item x="108"/>
        <item x="58"/>
        <item x="120"/>
        <item x="101"/>
        <item x="3"/>
        <item x="198"/>
        <item x="67"/>
        <item x="57"/>
        <item x="271"/>
        <item x="261"/>
        <item x="219"/>
        <item x="42"/>
        <item x="214"/>
        <item x="173"/>
        <item x="200"/>
        <item x="207"/>
        <item x="165"/>
        <item x="229"/>
        <item x="48"/>
        <item x="150"/>
        <item x="84"/>
        <item x="187"/>
        <item x="103"/>
        <item x="215"/>
        <item x="54"/>
        <item x="221"/>
        <item x="124"/>
        <item x="7"/>
        <item x="265"/>
        <item x="86"/>
        <item x="220"/>
        <item x="167"/>
        <item x="0"/>
        <item x="8"/>
        <item x="158"/>
        <item x="190"/>
        <item x="60"/>
        <item x="189"/>
        <item x="132"/>
        <item x="208"/>
        <item x="184"/>
        <item x="131"/>
        <item x="96"/>
        <item x="53"/>
        <item x="181"/>
        <item x="11"/>
        <item x="110"/>
        <item x="17"/>
        <item x="204"/>
        <item x="25"/>
        <item x="122"/>
        <item x="5"/>
        <item x="68"/>
        <item x="180"/>
        <item x="145"/>
        <item x="30"/>
        <item x="234"/>
        <item x="76"/>
        <item x="33"/>
        <item x="185"/>
        <item x="134"/>
        <item t="default"/>
      </items>
    </pivotField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6">
        <item x="0"/>
        <item x="4"/>
        <item x="1"/>
        <item x="2"/>
        <item x="3"/>
        <item t="default"/>
      </items>
    </pivotField>
    <pivotField compact="0" showAll="0">
      <items count="51">
        <item x="9"/>
        <item x="17"/>
        <item x="46"/>
        <item x="18"/>
        <item x="27"/>
        <item x="36"/>
        <item x="33"/>
        <item x="6"/>
        <item x="20"/>
        <item x="14"/>
        <item x="8"/>
        <item x="1"/>
        <item x="40"/>
        <item x="34"/>
        <item x="12"/>
        <item x="13"/>
        <item x="42"/>
        <item x="2"/>
        <item x="15"/>
        <item x="23"/>
        <item x="29"/>
        <item x="11"/>
        <item x="44"/>
        <item x="19"/>
        <item x="41"/>
        <item x="31"/>
        <item x="37"/>
        <item x="25"/>
        <item x="47"/>
        <item x="22"/>
        <item x="26"/>
        <item x="24"/>
        <item x="21"/>
        <item x="43"/>
        <item x="49"/>
        <item x="30"/>
        <item x="35"/>
        <item x="38"/>
        <item x="7"/>
        <item x="4"/>
        <item x="28"/>
        <item x="39"/>
        <item x="0"/>
        <item x="10"/>
        <item x="3"/>
        <item x="5"/>
        <item x="48"/>
        <item x="32"/>
        <item x="45"/>
        <item x="16"/>
        <item t="default"/>
      </items>
    </pivotField>
    <pivotField compact="0" showAll="0">
      <items count="5">
        <item x="1"/>
        <item h="1" x="2"/>
        <item h="1" x="0"/>
        <item h="1" x="3"/>
        <item t="default"/>
      </items>
    </pivotField>
    <pivotField compact="0" showAll="0">
      <items count="7">
        <item x="5"/>
        <item x="3"/>
        <item x="0"/>
        <item x="2"/>
        <item x="1"/>
        <item x="4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showAll="0">
      <items count="51">
        <item x="23"/>
        <item x="18"/>
        <item x="2"/>
        <item x="13"/>
        <item x="11"/>
        <item x="20"/>
        <item x="35"/>
        <item x="36"/>
        <item x="43"/>
        <item x="38"/>
        <item x="28"/>
        <item x="49"/>
        <item x="47"/>
        <item x="12"/>
        <item x="3"/>
        <item x="44"/>
        <item x="10"/>
        <item x="5"/>
        <item x="30"/>
        <item x="40"/>
        <item x="45"/>
        <item x="32"/>
        <item x="42"/>
        <item x="9"/>
        <item x="33"/>
        <item x="26"/>
        <item x="29"/>
        <item x="37"/>
        <item x="1"/>
        <item x="24"/>
        <item x="21"/>
        <item x="19"/>
        <item x="8"/>
        <item x="39"/>
        <item x="4"/>
        <item x="16"/>
        <item x="41"/>
        <item x="6"/>
        <item x="7"/>
        <item x="14"/>
        <item x="46"/>
        <item x="31"/>
        <item x="17"/>
        <item x="0"/>
        <item x="34"/>
        <item x="22"/>
        <item x="25"/>
        <item x="48"/>
        <item x="15"/>
        <item x="27"/>
        <item t="default"/>
      </items>
    </pivotField>
    <pivotField compact="0" showAll="0">
      <items count="490">
        <item x="343"/>
        <item x="232"/>
        <item x="156"/>
        <item x="282"/>
        <item x="98"/>
        <item x="36"/>
        <item x="234"/>
        <item x="349"/>
        <item x="334"/>
        <item x="397"/>
        <item x="486"/>
        <item x="70"/>
        <item x="60"/>
        <item x="284"/>
        <item x="386"/>
        <item x="322"/>
        <item x="205"/>
        <item x="119"/>
        <item x="270"/>
        <item x="112"/>
        <item x="264"/>
        <item x="74"/>
        <item x="29"/>
        <item x="152"/>
        <item x="198"/>
        <item x="476"/>
        <item x="78"/>
        <item x="417"/>
        <item x="471"/>
        <item x="388"/>
        <item x="260"/>
        <item x="5"/>
        <item x="286"/>
        <item x="185"/>
        <item x="380"/>
        <item x="211"/>
        <item x="429"/>
        <item x="93"/>
        <item x="150"/>
        <item x="298"/>
        <item x="344"/>
        <item x="230"/>
        <item x="17"/>
        <item x="400"/>
        <item x="385"/>
        <item x="261"/>
        <item x="413"/>
        <item x="228"/>
        <item x="116"/>
        <item x="481"/>
        <item x="179"/>
        <item x="180"/>
        <item x="195"/>
        <item x="236"/>
        <item x="173"/>
        <item x="241"/>
        <item x="443"/>
        <item x="159"/>
        <item x="316"/>
        <item x="235"/>
        <item x="25"/>
        <item x="338"/>
        <item x="82"/>
        <item x="458"/>
        <item x="37"/>
        <item x="265"/>
        <item x="353"/>
        <item x="262"/>
        <item x="50"/>
        <item x="106"/>
        <item x="274"/>
        <item x="379"/>
        <item x="420"/>
        <item x="321"/>
        <item x="424"/>
        <item x="188"/>
        <item x="80"/>
        <item x="426"/>
        <item x="360"/>
        <item x="381"/>
        <item x="206"/>
        <item x="216"/>
        <item x="325"/>
        <item x="75"/>
        <item x="146"/>
        <item x="460"/>
        <item x="81"/>
        <item x="299"/>
        <item x="200"/>
        <item x="434"/>
        <item x="455"/>
        <item x="169"/>
        <item x="73"/>
        <item x="374"/>
        <item x="30"/>
        <item x="204"/>
        <item x="279"/>
        <item x="327"/>
        <item x="468"/>
        <item x="24"/>
        <item x="171"/>
        <item x="38"/>
        <item x="449"/>
        <item x="194"/>
        <item x="365"/>
        <item x="223"/>
        <item x="33"/>
        <item x="209"/>
        <item x="28"/>
        <item x="275"/>
        <item x="307"/>
        <item x="34"/>
        <item x="132"/>
        <item x="457"/>
        <item x="428"/>
        <item x="148"/>
        <item x="312"/>
        <item x="126"/>
        <item x="196"/>
        <item x="69"/>
        <item x="48"/>
        <item x="244"/>
        <item x="440"/>
        <item x="444"/>
        <item x="183"/>
        <item x="163"/>
        <item x="191"/>
        <item x="221"/>
        <item x="253"/>
        <item x="111"/>
        <item x="394"/>
        <item x="259"/>
        <item x="482"/>
        <item x="450"/>
        <item x="256"/>
        <item x="197"/>
        <item x="436"/>
        <item x="158"/>
        <item x="402"/>
        <item x="189"/>
        <item x="357"/>
        <item x="218"/>
        <item x="79"/>
        <item x="95"/>
        <item x="456"/>
        <item x="285"/>
        <item x="127"/>
        <item x="478"/>
        <item x="472"/>
        <item x="115"/>
        <item x="45"/>
        <item x="102"/>
        <item x="487"/>
        <item x="213"/>
        <item x="64"/>
        <item x="215"/>
        <item x="483"/>
        <item x="350"/>
        <item x="333"/>
        <item x="431"/>
        <item x="122"/>
        <item x="160"/>
        <item x="107"/>
        <item x="377"/>
        <item x="446"/>
        <item x="207"/>
        <item x="114"/>
        <item x="306"/>
        <item x="53"/>
        <item x="271"/>
        <item x="61"/>
        <item x="297"/>
        <item x="168"/>
        <item x="72"/>
        <item x="103"/>
        <item x="52"/>
        <item x="470"/>
        <item x="323"/>
        <item x="32"/>
        <item x="475"/>
        <item x="11"/>
        <item x="422"/>
        <item x="182"/>
        <item x="157"/>
        <item x="359"/>
        <item x="411"/>
        <item x="268"/>
        <item x="296"/>
        <item x="258"/>
        <item x="273"/>
        <item x="90"/>
        <item x="304"/>
        <item x="164"/>
        <item x="97"/>
        <item x="210"/>
        <item x="342"/>
        <item x="181"/>
        <item x="170"/>
        <item x="445"/>
        <item x="184"/>
        <item x="461"/>
        <item x="137"/>
        <item x="326"/>
        <item x="250"/>
        <item x="6"/>
        <item x="13"/>
        <item x="42"/>
        <item x="452"/>
        <item x="320"/>
        <item x="176"/>
        <item x="217"/>
        <item x="141"/>
        <item x="447"/>
        <item x="162"/>
        <item x="280"/>
        <item x="104"/>
        <item x="484"/>
        <item x="433"/>
        <item x="117"/>
        <item x="26"/>
        <item x="294"/>
        <item x="231"/>
        <item x="40"/>
        <item x="416"/>
        <item x="85"/>
        <item x="54"/>
        <item x="139"/>
        <item x="242"/>
        <item x="462"/>
        <item x="31"/>
        <item x="222"/>
        <item x="133"/>
        <item x="105"/>
        <item x="76"/>
        <item x="319"/>
        <item x="129"/>
        <item x="84"/>
        <item x="88"/>
        <item x="401"/>
        <item x="376"/>
        <item x="317"/>
        <item x="308"/>
        <item x="336"/>
        <item x="469"/>
        <item x="277"/>
        <item x="151"/>
        <item x="16"/>
        <item x="351"/>
        <item x="124"/>
        <item x="396"/>
        <item x="331"/>
        <item x="337"/>
        <item x="412"/>
        <item x="46"/>
        <item x="474"/>
        <item x="451"/>
        <item x="364"/>
        <item x="83"/>
        <item x="293"/>
        <item x="438"/>
        <item x="269"/>
        <item x="465"/>
        <item x="86"/>
        <item x="233"/>
        <item x="356"/>
        <item x="406"/>
        <item x="165"/>
        <item x="140"/>
        <item x="47"/>
        <item x="329"/>
        <item x="303"/>
        <item x="301"/>
        <item x="10"/>
        <item x="43"/>
        <item x="384"/>
        <item x="352"/>
        <item x="172"/>
        <item x="12"/>
        <item x="314"/>
        <item x="367"/>
        <item x="118"/>
        <item x="257"/>
        <item x="57"/>
        <item x="212"/>
        <item x="142"/>
        <item x="92"/>
        <item x="295"/>
        <item x="87"/>
        <item x="324"/>
        <item x="335"/>
        <item x="128"/>
        <item x="464"/>
        <item x="442"/>
        <item x="435"/>
        <item x="448"/>
        <item x="370"/>
        <item x="345"/>
        <item x="399"/>
        <item x="395"/>
        <item x="101"/>
        <item x="134"/>
        <item x="340"/>
        <item x="1"/>
        <item x="311"/>
        <item x="99"/>
        <item x="208"/>
        <item x="167"/>
        <item x="174"/>
        <item x="201"/>
        <item x="362"/>
        <item x="405"/>
        <item x="251"/>
        <item x="393"/>
        <item x="186"/>
        <item x="136"/>
        <item x="35"/>
        <item x="407"/>
        <item x="403"/>
        <item x="305"/>
        <item x="341"/>
        <item x="89"/>
        <item x="14"/>
        <item x="382"/>
        <item x="131"/>
        <item x="330"/>
        <item x="266"/>
        <item x="467"/>
        <item x="177"/>
        <item x="309"/>
        <item x="238"/>
        <item x="130"/>
        <item x="363"/>
        <item x="246"/>
        <item x="51"/>
        <item x="143"/>
        <item x="190"/>
        <item x="378"/>
        <item x="290"/>
        <item x="94"/>
        <item x="463"/>
        <item x="355"/>
        <item x="62"/>
        <item x="315"/>
        <item x="332"/>
        <item x="225"/>
        <item x="276"/>
        <item x="20"/>
        <item x="485"/>
        <item x="292"/>
        <item x="313"/>
        <item x="423"/>
        <item x="255"/>
        <item x="281"/>
        <item x="21"/>
        <item x="473"/>
        <item x="427"/>
        <item x="368"/>
        <item x="149"/>
        <item x="91"/>
        <item x="318"/>
        <item x="227"/>
        <item x="243"/>
        <item x="477"/>
        <item x="4"/>
        <item x="2"/>
        <item x="372"/>
        <item x="387"/>
        <item x="44"/>
        <item x="328"/>
        <item x="0"/>
        <item x="220"/>
        <item x="252"/>
        <item x="27"/>
        <item x="302"/>
        <item x="346"/>
        <item x="291"/>
        <item x="214"/>
        <item x="375"/>
        <item x="65"/>
        <item x="8"/>
        <item x="96"/>
        <item x="459"/>
        <item x="161"/>
        <item x="154"/>
        <item x="300"/>
        <item x="155"/>
        <item x="56"/>
        <item x="193"/>
        <item x="383"/>
        <item x="202"/>
        <item x="254"/>
        <item x="354"/>
        <item x="175"/>
        <item x="49"/>
        <item x="67"/>
        <item x="147"/>
        <item x="437"/>
        <item x="166"/>
        <item x="239"/>
        <item x="113"/>
        <item x="226"/>
        <item x="391"/>
        <item x="203"/>
        <item x="240"/>
        <item x="135"/>
        <item x="272"/>
        <item x="369"/>
        <item x="263"/>
        <item x="199"/>
        <item x="248"/>
        <item x="418"/>
        <item x="339"/>
        <item x="120"/>
        <item x="247"/>
        <item x="77"/>
        <item x="55"/>
        <item x="288"/>
        <item x="414"/>
        <item x="415"/>
        <item x="153"/>
        <item x="389"/>
        <item x="219"/>
        <item x="192"/>
        <item x="361"/>
        <item x="348"/>
        <item x="39"/>
        <item x="41"/>
        <item x="109"/>
        <item x="224"/>
        <item x="441"/>
        <item x="347"/>
        <item x="439"/>
        <item x="287"/>
        <item x="310"/>
        <item x="23"/>
        <item x="3"/>
        <item x="488"/>
        <item x="59"/>
        <item x="453"/>
        <item x="278"/>
        <item x="66"/>
        <item x="110"/>
        <item x="9"/>
        <item x="430"/>
        <item x="145"/>
        <item x="68"/>
        <item x="229"/>
        <item x="419"/>
        <item x="371"/>
        <item x="358"/>
        <item x="178"/>
        <item x="410"/>
        <item x="404"/>
        <item x="22"/>
        <item x="421"/>
        <item x="108"/>
        <item x="479"/>
        <item x="480"/>
        <item x="125"/>
        <item x="390"/>
        <item x="15"/>
        <item x="249"/>
        <item x="18"/>
        <item x="138"/>
        <item x="454"/>
        <item x="63"/>
        <item x="289"/>
        <item x="71"/>
        <item x="392"/>
        <item x="100"/>
        <item x="187"/>
        <item x="123"/>
        <item x="267"/>
        <item x="283"/>
        <item x="466"/>
        <item x="121"/>
        <item x="366"/>
        <item x="398"/>
        <item x="408"/>
        <item x="432"/>
        <item x="237"/>
        <item x="409"/>
        <item x="245"/>
        <item x="19"/>
        <item x="425"/>
        <item x="58"/>
        <item x="373"/>
        <item x="7"/>
        <item x="144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00">
        <item x="391"/>
        <item x="29"/>
        <item x="477"/>
        <item x="119"/>
        <item x="116"/>
        <item x="156"/>
        <item x="206"/>
        <item x="262"/>
        <item x="98"/>
        <item x="73"/>
        <item x="25"/>
        <item x="106"/>
        <item x="276"/>
        <item x="83"/>
        <item x="305"/>
        <item x="448"/>
        <item x="353"/>
        <item x="324"/>
        <item x="300"/>
        <item x="347"/>
        <item x="414"/>
        <item x="265"/>
        <item x="402"/>
        <item x="200"/>
        <item x="39"/>
        <item x="80"/>
        <item x="84"/>
        <item x="33"/>
        <item x="102"/>
        <item x="465"/>
        <item x="61"/>
        <item x="424"/>
        <item x="222"/>
        <item x="93"/>
        <item x="115"/>
        <item x="386"/>
        <item x="70"/>
        <item x="479"/>
        <item x="434"/>
        <item x="451"/>
        <item x="277"/>
        <item x="302"/>
        <item x="426"/>
        <item x="242"/>
        <item x="152"/>
        <item x="354"/>
        <item x="270"/>
        <item x="194"/>
        <item x="111"/>
        <item x="13"/>
        <item x="494"/>
        <item x="484"/>
        <item x="11"/>
        <item x="69"/>
        <item x="491"/>
        <item x="318"/>
        <item x="213"/>
        <item x="81"/>
        <item x="5"/>
        <item x="272"/>
        <item x="405"/>
        <item x="266"/>
        <item x="171"/>
        <item x="36"/>
        <item x="2"/>
        <item x="392"/>
        <item x="284"/>
        <item x="157"/>
        <item x="233"/>
        <item x="428"/>
        <item x="97"/>
        <item x="179"/>
        <item x="496"/>
        <item x="183"/>
        <item x="204"/>
        <item x="14"/>
        <item x="22"/>
        <item x="158"/>
        <item x="205"/>
        <item x="85"/>
        <item x="364"/>
        <item x="60"/>
        <item x="319"/>
        <item x="48"/>
        <item x="337"/>
        <item x="439"/>
        <item x="198"/>
        <item x="369"/>
        <item x="441"/>
        <item x="117"/>
        <item x="469"/>
        <item x="150"/>
        <item x="30"/>
        <item x="227"/>
        <item x="203"/>
        <item x="112"/>
        <item x="235"/>
        <item x="361"/>
        <item x="312"/>
        <item x="218"/>
        <item x="481"/>
        <item x="463"/>
        <item x="348"/>
        <item x="74"/>
        <item x="338"/>
        <item x="146"/>
        <item x="286"/>
        <item x="219"/>
        <item x="360"/>
        <item x="458"/>
        <item x="281"/>
        <item x="186"/>
        <item x="35"/>
        <item x="468"/>
        <item x="173"/>
        <item x="292"/>
        <item x="390"/>
        <item x="393"/>
        <item x="209"/>
        <item x="288"/>
        <item x="275"/>
        <item x="82"/>
        <item x="498"/>
        <item x="485"/>
        <item x="457"/>
        <item x="159"/>
        <item x="261"/>
        <item x="308"/>
        <item x="470"/>
        <item x="78"/>
        <item x="442"/>
        <item x="96"/>
        <item x="155"/>
        <item x="450"/>
        <item x="100"/>
        <item x="419"/>
        <item x="67"/>
        <item x="50"/>
        <item x="196"/>
        <item x="303"/>
        <item x="480"/>
        <item x="328"/>
        <item x="478"/>
        <item x="466"/>
        <item x="77"/>
        <item x="17"/>
        <item x="320"/>
        <item x="342"/>
        <item x="460"/>
        <item x="330"/>
        <item x="195"/>
        <item x="380"/>
        <item x="72"/>
        <item x="301"/>
        <item x="229"/>
        <item x="211"/>
        <item x="444"/>
        <item x="325"/>
        <item x="245"/>
        <item x="185"/>
        <item x="191"/>
        <item x="437"/>
        <item x="385"/>
        <item x="331"/>
        <item x="279"/>
        <item x="323"/>
        <item x="53"/>
        <item x="432"/>
        <item x="181"/>
        <item x="237"/>
        <item x="357"/>
        <item x="295"/>
        <item x="231"/>
        <item x="180"/>
        <item x="236"/>
        <item x="497"/>
        <item x="32"/>
        <item x="387"/>
        <item x="418"/>
        <item x="127"/>
        <item x="384"/>
        <item x="37"/>
        <item x="174"/>
        <item x="487"/>
        <item x="492"/>
        <item x="263"/>
        <item x="429"/>
        <item x="260"/>
        <item x="372"/>
        <item x="476"/>
        <item x="75"/>
        <item x="208"/>
        <item x="71"/>
        <item x="411"/>
        <item x="165"/>
        <item x="215"/>
        <item x="493"/>
        <item x="251"/>
        <item x="336"/>
        <item x="217"/>
        <item x="246"/>
        <item x="12"/>
        <item x="461"/>
        <item x="110"/>
        <item x="408"/>
        <item x="399"/>
        <item x="486"/>
        <item x="309"/>
        <item x="299"/>
        <item x="34"/>
        <item x="188"/>
        <item x="172"/>
        <item x="378"/>
        <item x="169"/>
        <item x="436"/>
        <item x="168"/>
        <item x="189"/>
        <item x="259"/>
        <item x="314"/>
        <item x="54"/>
        <item x="464"/>
        <item x="252"/>
        <item x="197"/>
        <item x="107"/>
        <item x="10"/>
        <item x="298"/>
        <item x="316"/>
        <item x="90"/>
        <item x="88"/>
        <item x="20"/>
        <item x="52"/>
        <item x="297"/>
        <item x="24"/>
        <item x="421"/>
        <item x="122"/>
        <item x="366"/>
        <item x="490"/>
        <item x="455"/>
        <item x="216"/>
        <item x="132"/>
        <item x="44"/>
        <item x="322"/>
        <item x="124"/>
        <item x="334"/>
        <item x="160"/>
        <item x="199"/>
        <item x="257"/>
        <item x="224"/>
        <item x="368"/>
        <item x="105"/>
        <item x="38"/>
        <item x="26"/>
        <item x="148"/>
        <item x="126"/>
        <item x="182"/>
        <item x="28"/>
        <item x="473"/>
        <item x="417"/>
        <item x="269"/>
        <item x="291"/>
        <item x="131"/>
        <item x="293"/>
        <item x="287"/>
        <item x="92"/>
        <item x="164"/>
        <item x="45"/>
        <item x="128"/>
        <item x="139"/>
        <item x="138"/>
        <item x="443"/>
        <item x="452"/>
        <item x="456"/>
        <item x="91"/>
        <item x="57"/>
        <item x="307"/>
        <item x="243"/>
        <item x="254"/>
        <item x="214"/>
        <item x="113"/>
        <item x="3"/>
        <item x="184"/>
        <item x="389"/>
        <item x="76"/>
        <item x="46"/>
        <item x="49"/>
        <item x="329"/>
        <item x="40"/>
        <item x="226"/>
        <item x="135"/>
        <item x="56"/>
        <item x="210"/>
        <item x="163"/>
        <item x="454"/>
        <item x="430"/>
        <item x="306"/>
        <item x="406"/>
        <item x="207"/>
        <item x="294"/>
        <item x="346"/>
        <item x="137"/>
        <item x="395"/>
        <item x="64"/>
        <item x="453"/>
        <item x="407"/>
        <item x="273"/>
        <item x="471"/>
        <item x="220"/>
        <item x="170"/>
        <item x="103"/>
        <item x="381"/>
        <item x="79"/>
        <item x="363"/>
        <item x="142"/>
        <item x="271"/>
        <item x="15"/>
        <item x="282"/>
        <item x="95"/>
        <item x="371"/>
        <item x="340"/>
        <item x="335"/>
        <item x="133"/>
        <item x="114"/>
        <item x="228"/>
        <item x="6"/>
        <item x="121"/>
        <item x="296"/>
        <item x="94"/>
        <item x="404"/>
        <item x="31"/>
        <item x="431"/>
        <item x="109"/>
        <item x="423"/>
        <item x="143"/>
        <item x="310"/>
        <item x="425"/>
        <item x="1"/>
        <item x="394"/>
        <item x="130"/>
        <item x="151"/>
        <item x="86"/>
        <item x="176"/>
        <item x="447"/>
        <item x="326"/>
        <item x="223"/>
        <item x="232"/>
        <item x="445"/>
        <item x="410"/>
        <item x="433"/>
        <item x="274"/>
        <item x="358"/>
        <item x="16"/>
        <item x="332"/>
        <item x="248"/>
        <item x="401"/>
        <item x="446"/>
        <item x="240"/>
        <item x="99"/>
        <item x="241"/>
        <item x="178"/>
        <item x="202"/>
        <item x="43"/>
        <item x="141"/>
        <item x="356"/>
        <item x="123"/>
        <item x="333"/>
        <item x="268"/>
        <item x="483"/>
        <item x="221"/>
        <item x="495"/>
        <item x="42"/>
        <item x="327"/>
        <item x="341"/>
        <item x="409"/>
        <item x="472"/>
        <item x="162"/>
        <item x="383"/>
        <item x="374"/>
        <item x="280"/>
        <item x="258"/>
        <item x="9"/>
        <item x="475"/>
        <item x="104"/>
        <item x="125"/>
        <item x="321"/>
        <item x="225"/>
        <item x="264"/>
        <item x="355"/>
        <item x="412"/>
        <item x="400"/>
        <item x="129"/>
        <item x="459"/>
        <item x="350"/>
        <item x="339"/>
        <item x="311"/>
        <item x="413"/>
        <item x="140"/>
        <item x="359"/>
        <item x="59"/>
        <item x="317"/>
        <item x="379"/>
        <item x="58"/>
        <item x="89"/>
        <item x="438"/>
        <item x="488"/>
        <item x="315"/>
        <item x="249"/>
        <item x="149"/>
        <item x="239"/>
        <item x="201"/>
        <item x="8"/>
        <item x="190"/>
        <item x="234"/>
        <item x="365"/>
        <item x="349"/>
        <item x="21"/>
        <item x="212"/>
        <item x="427"/>
        <item x="4"/>
        <item x="255"/>
        <item x="474"/>
        <item x="467"/>
        <item x="47"/>
        <item x="41"/>
        <item x="63"/>
        <item x="120"/>
        <item x="376"/>
        <item x="313"/>
        <item x="230"/>
        <item x="134"/>
        <item x="177"/>
        <item x="416"/>
        <item x="62"/>
        <item x="118"/>
        <item x="87"/>
        <item x="247"/>
        <item x="267"/>
        <item x="145"/>
        <item x="256"/>
        <item x="367"/>
        <item x="373"/>
        <item x="345"/>
        <item x="101"/>
        <item x="344"/>
        <item x="167"/>
        <item x="154"/>
        <item x="375"/>
        <item x="420"/>
        <item x="66"/>
        <item x="153"/>
        <item x="304"/>
        <item x="244"/>
        <item x="398"/>
        <item x="278"/>
        <item x="136"/>
        <item x="289"/>
        <item x="238"/>
        <item x="0"/>
        <item x="352"/>
        <item x="253"/>
        <item x="27"/>
        <item x="51"/>
        <item x="65"/>
        <item x="250"/>
        <item x="482"/>
        <item x="415"/>
        <item x="161"/>
        <item x="422"/>
        <item x="382"/>
        <item x="370"/>
        <item x="55"/>
        <item x="68"/>
        <item x="166"/>
        <item x="435"/>
        <item x="362"/>
        <item x="403"/>
        <item x="283"/>
        <item x="449"/>
        <item x="462"/>
        <item x="396"/>
        <item x="440"/>
        <item x="388"/>
        <item x="23"/>
        <item x="290"/>
        <item x="147"/>
        <item x="397"/>
        <item x="7"/>
        <item x="351"/>
        <item x="175"/>
        <item x="193"/>
        <item x="19"/>
        <item x="489"/>
        <item x="108"/>
        <item x="343"/>
        <item x="377"/>
        <item x="192"/>
        <item x="285"/>
        <item x="187"/>
        <item x="18"/>
        <item x="144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4">
        <item x="1"/>
        <item x="2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Quantity_Sold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12:B17" firstHeaderRow="1" firstDataRow="1" firstDataCol="1"/>
  <pivotFields count="2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1"/>
        <item x="0"/>
        <item x="4"/>
        <item x="3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500">
        <item x="391"/>
        <item x="29"/>
        <item x="477"/>
        <item x="119"/>
        <item x="116"/>
        <item x="156"/>
        <item x="206"/>
        <item x="262"/>
        <item x="98"/>
        <item x="73"/>
        <item x="25"/>
        <item x="106"/>
        <item x="276"/>
        <item x="83"/>
        <item x="305"/>
        <item x="448"/>
        <item x="353"/>
        <item x="324"/>
        <item x="300"/>
        <item x="347"/>
        <item x="414"/>
        <item x="265"/>
        <item x="402"/>
        <item x="200"/>
        <item x="39"/>
        <item x="80"/>
        <item x="84"/>
        <item x="33"/>
        <item x="102"/>
        <item x="465"/>
        <item x="61"/>
        <item x="424"/>
        <item x="222"/>
        <item x="93"/>
        <item x="115"/>
        <item x="386"/>
        <item x="70"/>
        <item x="479"/>
        <item x="434"/>
        <item x="451"/>
        <item x="277"/>
        <item x="302"/>
        <item x="426"/>
        <item x="242"/>
        <item x="152"/>
        <item x="354"/>
        <item x="270"/>
        <item x="194"/>
        <item x="111"/>
        <item x="13"/>
        <item x="494"/>
        <item x="484"/>
        <item x="11"/>
        <item x="69"/>
        <item x="491"/>
        <item x="318"/>
        <item x="213"/>
        <item x="81"/>
        <item x="5"/>
        <item x="272"/>
        <item x="405"/>
        <item x="266"/>
        <item x="171"/>
        <item x="36"/>
        <item x="2"/>
        <item x="392"/>
        <item x="284"/>
        <item x="157"/>
        <item x="233"/>
        <item x="428"/>
        <item x="97"/>
        <item x="179"/>
        <item x="496"/>
        <item x="183"/>
        <item x="204"/>
        <item x="14"/>
        <item x="22"/>
        <item x="158"/>
        <item x="205"/>
        <item x="85"/>
        <item x="364"/>
        <item x="60"/>
        <item x="319"/>
        <item x="48"/>
        <item x="337"/>
        <item x="439"/>
        <item x="198"/>
        <item x="369"/>
        <item x="441"/>
        <item x="117"/>
        <item x="469"/>
        <item x="150"/>
        <item x="30"/>
        <item x="227"/>
        <item x="203"/>
        <item x="112"/>
        <item x="235"/>
        <item x="361"/>
        <item x="312"/>
        <item x="218"/>
        <item x="481"/>
        <item x="463"/>
        <item x="348"/>
        <item x="74"/>
        <item x="338"/>
        <item x="146"/>
        <item x="286"/>
        <item x="219"/>
        <item x="360"/>
        <item x="458"/>
        <item x="281"/>
        <item x="186"/>
        <item x="35"/>
        <item x="468"/>
        <item x="173"/>
        <item x="292"/>
        <item x="390"/>
        <item x="393"/>
        <item x="209"/>
        <item x="288"/>
        <item x="275"/>
        <item x="82"/>
        <item x="498"/>
        <item x="485"/>
        <item x="457"/>
        <item x="159"/>
        <item x="261"/>
        <item x="308"/>
        <item x="470"/>
        <item x="78"/>
        <item x="442"/>
        <item x="96"/>
        <item x="155"/>
        <item x="450"/>
        <item x="100"/>
        <item x="419"/>
        <item x="67"/>
        <item x="50"/>
        <item x="196"/>
        <item x="303"/>
        <item x="480"/>
        <item x="328"/>
        <item x="478"/>
        <item x="466"/>
        <item x="77"/>
        <item x="17"/>
        <item x="320"/>
        <item x="342"/>
        <item x="460"/>
        <item x="330"/>
        <item x="195"/>
        <item x="380"/>
        <item x="72"/>
        <item x="301"/>
        <item x="229"/>
        <item x="211"/>
        <item x="444"/>
        <item x="325"/>
        <item x="245"/>
        <item x="185"/>
        <item x="191"/>
        <item x="437"/>
        <item x="385"/>
        <item x="331"/>
        <item x="279"/>
        <item x="323"/>
        <item x="53"/>
        <item x="432"/>
        <item x="181"/>
        <item x="237"/>
        <item x="357"/>
        <item x="295"/>
        <item x="231"/>
        <item x="180"/>
        <item x="236"/>
        <item x="497"/>
        <item x="32"/>
        <item x="387"/>
        <item x="418"/>
        <item x="127"/>
        <item x="384"/>
        <item x="37"/>
        <item x="174"/>
        <item x="487"/>
        <item x="492"/>
        <item x="263"/>
        <item x="429"/>
        <item x="260"/>
        <item x="372"/>
        <item x="476"/>
        <item x="75"/>
        <item x="208"/>
        <item x="71"/>
        <item x="411"/>
        <item x="165"/>
        <item x="215"/>
        <item x="493"/>
        <item x="251"/>
        <item x="336"/>
        <item x="217"/>
        <item x="246"/>
        <item x="12"/>
        <item x="461"/>
        <item x="110"/>
        <item x="408"/>
        <item x="399"/>
        <item x="486"/>
        <item x="309"/>
        <item x="299"/>
        <item x="34"/>
        <item x="188"/>
        <item x="172"/>
        <item x="378"/>
        <item x="169"/>
        <item x="436"/>
        <item x="168"/>
        <item x="189"/>
        <item x="259"/>
        <item x="314"/>
        <item x="54"/>
        <item x="464"/>
        <item x="252"/>
        <item x="197"/>
        <item x="107"/>
        <item x="10"/>
        <item x="298"/>
        <item x="316"/>
        <item x="90"/>
        <item x="88"/>
        <item x="20"/>
        <item x="52"/>
        <item x="297"/>
        <item x="24"/>
        <item x="421"/>
        <item x="122"/>
        <item x="366"/>
        <item x="490"/>
        <item x="455"/>
        <item x="216"/>
        <item x="132"/>
        <item x="44"/>
        <item x="322"/>
        <item x="124"/>
        <item x="334"/>
        <item x="160"/>
        <item x="199"/>
        <item x="257"/>
        <item x="224"/>
        <item x="368"/>
        <item x="105"/>
        <item x="38"/>
        <item x="26"/>
        <item x="148"/>
        <item x="126"/>
        <item x="182"/>
        <item x="28"/>
        <item x="473"/>
        <item x="417"/>
        <item x="269"/>
        <item x="291"/>
        <item x="131"/>
        <item x="293"/>
        <item x="287"/>
        <item x="92"/>
        <item x="164"/>
        <item x="45"/>
        <item x="128"/>
        <item x="139"/>
        <item x="138"/>
        <item x="443"/>
        <item x="452"/>
        <item x="456"/>
        <item x="91"/>
        <item x="57"/>
        <item x="307"/>
        <item x="243"/>
        <item x="254"/>
        <item x="214"/>
        <item x="113"/>
        <item x="3"/>
        <item x="184"/>
        <item x="389"/>
        <item x="76"/>
        <item x="46"/>
        <item x="49"/>
        <item x="329"/>
        <item x="40"/>
        <item x="226"/>
        <item x="135"/>
        <item x="56"/>
        <item x="210"/>
        <item x="163"/>
        <item x="454"/>
        <item x="430"/>
        <item x="306"/>
        <item x="406"/>
        <item x="207"/>
        <item x="294"/>
        <item x="346"/>
        <item x="137"/>
        <item x="395"/>
        <item x="64"/>
        <item x="453"/>
        <item x="407"/>
        <item x="273"/>
        <item x="471"/>
        <item x="220"/>
        <item x="170"/>
        <item x="103"/>
        <item x="381"/>
        <item x="79"/>
        <item x="363"/>
        <item x="142"/>
        <item x="271"/>
        <item x="15"/>
        <item x="282"/>
        <item x="95"/>
        <item x="371"/>
        <item x="340"/>
        <item x="335"/>
        <item x="133"/>
        <item x="114"/>
        <item x="228"/>
        <item x="6"/>
        <item x="121"/>
        <item x="296"/>
        <item x="94"/>
        <item x="404"/>
        <item x="31"/>
        <item x="431"/>
        <item x="109"/>
        <item x="423"/>
        <item x="143"/>
        <item x="310"/>
        <item x="425"/>
        <item x="1"/>
        <item x="394"/>
        <item x="130"/>
        <item x="151"/>
        <item x="86"/>
        <item x="176"/>
        <item x="447"/>
        <item x="326"/>
        <item x="223"/>
        <item x="232"/>
        <item x="445"/>
        <item x="410"/>
        <item x="433"/>
        <item x="274"/>
        <item x="358"/>
        <item x="16"/>
        <item x="332"/>
        <item x="248"/>
        <item x="401"/>
        <item x="446"/>
        <item x="240"/>
        <item x="99"/>
        <item x="241"/>
        <item x="178"/>
        <item x="202"/>
        <item x="43"/>
        <item x="141"/>
        <item x="356"/>
        <item x="123"/>
        <item x="333"/>
        <item x="268"/>
        <item x="483"/>
        <item x="221"/>
        <item x="495"/>
        <item x="42"/>
        <item x="327"/>
        <item x="341"/>
        <item x="409"/>
        <item x="472"/>
        <item x="162"/>
        <item x="383"/>
        <item x="374"/>
        <item x="280"/>
        <item x="258"/>
        <item x="9"/>
        <item x="475"/>
        <item x="104"/>
        <item x="125"/>
        <item x="321"/>
        <item x="225"/>
        <item x="264"/>
        <item x="355"/>
        <item x="412"/>
        <item x="400"/>
        <item x="129"/>
        <item x="459"/>
        <item x="350"/>
        <item x="339"/>
        <item x="311"/>
        <item x="413"/>
        <item x="140"/>
        <item x="359"/>
        <item x="59"/>
        <item x="317"/>
        <item x="379"/>
        <item x="58"/>
        <item x="89"/>
        <item x="438"/>
        <item x="488"/>
        <item x="315"/>
        <item x="249"/>
        <item x="149"/>
        <item x="239"/>
        <item x="201"/>
        <item x="8"/>
        <item x="190"/>
        <item x="234"/>
        <item x="365"/>
        <item x="349"/>
        <item x="21"/>
        <item x="212"/>
        <item x="427"/>
        <item x="4"/>
        <item x="255"/>
        <item x="474"/>
        <item x="467"/>
        <item x="47"/>
        <item x="41"/>
        <item x="63"/>
        <item x="120"/>
        <item x="376"/>
        <item x="313"/>
        <item x="230"/>
        <item x="134"/>
        <item x="177"/>
        <item x="416"/>
        <item x="62"/>
        <item x="118"/>
        <item x="87"/>
        <item x="247"/>
        <item x="267"/>
        <item x="145"/>
        <item x="256"/>
        <item x="367"/>
        <item x="373"/>
        <item x="345"/>
        <item x="101"/>
        <item x="344"/>
        <item x="167"/>
        <item x="154"/>
        <item x="375"/>
        <item x="420"/>
        <item x="66"/>
        <item x="153"/>
        <item x="304"/>
        <item x="244"/>
        <item x="398"/>
        <item x="278"/>
        <item x="136"/>
        <item x="289"/>
        <item x="238"/>
        <item x="0"/>
        <item x="352"/>
        <item x="253"/>
        <item x="27"/>
        <item x="51"/>
        <item x="65"/>
        <item x="250"/>
        <item x="482"/>
        <item x="415"/>
        <item x="161"/>
        <item x="422"/>
        <item x="382"/>
        <item x="370"/>
        <item x="55"/>
        <item x="68"/>
        <item x="166"/>
        <item x="435"/>
        <item x="362"/>
        <item x="403"/>
        <item x="283"/>
        <item x="449"/>
        <item x="462"/>
        <item x="396"/>
        <item x="440"/>
        <item x="388"/>
        <item x="23"/>
        <item x="290"/>
        <item x="147"/>
        <item x="397"/>
        <item x="7"/>
        <item x="351"/>
        <item x="175"/>
        <item x="193"/>
        <item x="19"/>
        <item x="489"/>
        <item x="108"/>
        <item x="343"/>
        <item x="377"/>
        <item x="192"/>
        <item x="285"/>
        <item x="187"/>
        <item x="18"/>
        <item x="14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_Amoun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D12:E18" firstHeaderRow="1" firstDataRow="1" firstDataCol="1"/>
  <pivotFields count="2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5"/>
        <item x="3"/>
        <item x="0"/>
        <item x="2"/>
        <item x="1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00">
        <item x="391"/>
        <item x="29"/>
        <item x="477"/>
        <item x="119"/>
        <item x="116"/>
        <item x="156"/>
        <item x="206"/>
        <item x="262"/>
        <item x="98"/>
        <item x="73"/>
        <item x="25"/>
        <item x="106"/>
        <item x="276"/>
        <item x="83"/>
        <item x="305"/>
        <item x="448"/>
        <item x="353"/>
        <item x="324"/>
        <item x="300"/>
        <item x="347"/>
        <item x="414"/>
        <item x="265"/>
        <item x="402"/>
        <item x="200"/>
        <item x="39"/>
        <item x="80"/>
        <item x="84"/>
        <item x="33"/>
        <item x="102"/>
        <item x="465"/>
        <item x="61"/>
        <item x="424"/>
        <item x="222"/>
        <item x="93"/>
        <item x="115"/>
        <item x="386"/>
        <item x="70"/>
        <item x="479"/>
        <item x="434"/>
        <item x="451"/>
        <item x="277"/>
        <item x="302"/>
        <item x="426"/>
        <item x="242"/>
        <item x="152"/>
        <item x="354"/>
        <item x="270"/>
        <item x="194"/>
        <item x="111"/>
        <item x="13"/>
        <item x="494"/>
        <item x="484"/>
        <item x="11"/>
        <item x="69"/>
        <item x="491"/>
        <item x="318"/>
        <item x="213"/>
        <item x="81"/>
        <item x="5"/>
        <item x="272"/>
        <item x="405"/>
        <item x="266"/>
        <item x="171"/>
        <item x="36"/>
        <item x="2"/>
        <item x="392"/>
        <item x="284"/>
        <item x="157"/>
        <item x="233"/>
        <item x="428"/>
        <item x="97"/>
        <item x="179"/>
        <item x="496"/>
        <item x="183"/>
        <item x="204"/>
        <item x="14"/>
        <item x="22"/>
        <item x="158"/>
        <item x="205"/>
        <item x="85"/>
        <item x="364"/>
        <item x="60"/>
        <item x="319"/>
        <item x="48"/>
        <item x="337"/>
        <item x="439"/>
        <item x="198"/>
        <item x="369"/>
        <item x="441"/>
        <item x="117"/>
        <item x="469"/>
        <item x="150"/>
        <item x="30"/>
        <item x="227"/>
        <item x="203"/>
        <item x="112"/>
        <item x="235"/>
        <item x="361"/>
        <item x="312"/>
        <item x="218"/>
        <item x="481"/>
        <item x="463"/>
        <item x="348"/>
        <item x="74"/>
        <item x="338"/>
        <item x="146"/>
        <item x="286"/>
        <item x="219"/>
        <item x="360"/>
        <item x="458"/>
        <item x="281"/>
        <item x="186"/>
        <item x="35"/>
        <item x="468"/>
        <item x="173"/>
        <item x="292"/>
        <item x="390"/>
        <item x="393"/>
        <item x="209"/>
        <item x="288"/>
        <item x="275"/>
        <item x="82"/>
        <item x="498"/>
        <item x="485"/>
        <item x="457"/>
        <item x="159"/>
        <item x="261"/>
        <item x="308"/>
        <item x="470"/>
        <item x="78"/>
        <item x="442"/>
        <item x="96"/>
        <item x="155"/>
        <item x="450"/>
        <item x="100"/>
        <item x="419"/>
        <item x="67"/>
        <item x="50"/>
        <item x="196"/>
        <item x="303"/>
        <item x="480"/>
        <item x="328"/>
        <item x="478"/>
        <item x="466"/>
        <item x="77"/>
        <item x="17"/>
        <item x="320"/>
        <item x="342"/>
        <item x="460"/>
        <item x="330"/>
        <item x="195"/>
        <item x="380"/>
        <item x="72"/>
        <item x="301"/>
        <item x="229"/>
        <item x="211"/>
        <item x="444"/>
        <item x="325"/>
        <item x="245"/>
        <item x="185"/>
        <item x="191"/>
        <item x="437"/>
        <item x="385"/>
        <item x="331"/>
        <item x="279"/>
        <item x="323"/>
        <item x="53"/>
        <item x="432"/>
        <item x="181"/>
        <item x="237"/>
        <item x="357"/>
        <item x="295"/>
        <item x="231"/>
        <item x="180"/>
        <item x="236"/>
        <item x="497"/>
        <item x="32"/>
        <item x="387"/>
        <item x="418"/>
        <item x="127"/>
        <item x="384"/>
        <item x="37"/>
        <item x="174"/>
        <item x="487"/>
        <item x="492"/>
        <item x="263"/>
        <item x="429"/>
        <item x="260"/>
        <item x="372"/>
        <item x="476"/>
        <item x="75"/>
        <item x="208"/>
        <item x="71"/>
        <item x="411"/>
        <item x="165"/>
        <item x="215"/>
        <item x="493"/>
        <item x="251"/>
        <item x="336"/>
        <item x="217"/>
        <item x="246"/>
        <item x="12"/>
        <item x="461"/>
        <item x="110"/>
        <item x="408"/>
        <item x="399"/>
        <item x="486"/>
        <item x="309"/>
        <item x="299"/>
        <item x="34"/>
        <item x="188"/>
        <item x="172"/>
        <item x="378"/>
        <item x="169"/>
        <item x="436"/>
        <item x="168"/>
        <item x="189"/>
        <item x="259"/>
        <item x="314"/>
        <item x="54"/>
        <item x="464"/>
        <item x="252"/>
        <item x="197"/>
        <item x="107"/>
        <item x="10"/>
        <item x="298"/>
        <item x="316"/>
        <item x="90"/>
        <item x="88"/>
        <item x="20"/>
        <item x="52"/>
        <item x="297"/>
        <item x="24"/>
        <item x="421"/>
        <item x="122"/>
        <item x="366"/>
        <item x="490"/>
        <item x="455"/>
        <item x="216"/>
        <item x="132"/>
        <item x="44"/>
        <item x="322"/>
        <item x="124"/>
        <item x="334"/>
        <item x="160"/>
        <item x="199"/>
        <item x="257"/>
        <item x="224"/>
        <item x="368"/>
        <item x="105"/>
        <item x="38"/>
        <item x="26"/>
        <item x="148"/>
        <item x="126"/>
        <item x="182"/>
        <item x="28"/>
        <item x="473"/>
        <item x="417"/>
        <item x="269"/>
        <item x="291"/>
        <item x="131"/>
        <item x="293"/>
        <item x="287"/>
        <item x="92"/>
        <item x="164"/>
        <item x="45"/>
        <item x="128"/>
        <item x="139"/>
        <item x="138"/>
        <item x="443"/>
        <item x="452"/>
        <item x="456"/>
        <item x="91"/>
        <item x="57"/>
        <item x="307"/>
        <item x="243"/>
        <item x="254"/>
        <item x="214"/>
        <item x="113"/>
        <item x="3"/>
        <item x="184"/>
        <item x="389"/>
        <item x="76"/>
        <item x="46"/>
        <item x="49"/>
        <item x="329"/>
        <item x="40"/>
        <item x="226"/>
        <item x="135"/>
        <item x="56"/>
        <item x="210"/>
        <item x="163"/>
        <item x="454"/>
        <item x="430"/>
        <item x="306"/>
        <item x="406"/>
        <item x="207"/>
        <item x="294"/>
        <item x="346"/>
        <item x="137"/>
        <item x="395"/>
        <item x="64"/>
        <item x="453"/>
        <item x="407"/>
        <item x="273"/>
        <item x="471"/>
        <item x="220"/>
        <item x="170"/>
        <item x="103"/>
        <item x="381"/>
        <item x="79"/>
        <item x="363"/>
        <item x="142"/>
        <item x="271"/>
        <item x="15"/>
        <item x="282"/>
        <item x="95"/>
        <item x="371"/>
        <item x="340"/>
        <item x="335"/>
        <item x="133"/>
        <item x="114"/>
        <item x="228"/>
        <item x="6"/>
        <item x="121"/>
        <item x="296"/>
        <item x="94"/>
        <item x="404"/>
        <item x="31"/>
        <item x="431"/>
        <item x="109"/>
        <item x="423"/>
        <item x="143"/>
        <item x="310"/>
        <item x="425"/>
        <item x="1"/>
        <item x="394"/>
        <item x="130"/>
        <item x="151"/>
        <item x="86"/>
        <item x="176"/>
        <item x="447"/>
        <item x="326"/>
        <item x="223"/>
        <item x="232"/>
        <item x="445"/>
        <item x="410"/>
        <item x="433"/>
        <item x="274"/>
        <item x="358"/>
        <item x="16"/>
        <item x="332"/>
        <item x="248"/>
        <item x="401"/>
        <item x="446"/>
        <item x="240"/>
        <item x="99"/>
        <item x="241"/>
        <item x="178"/>
        <item x="202"/>
        <item x="43"/>
        <item x="141"/>
        <item x="356"/>
        <item x="123"/>
        <item x="333"/>
        <item x="268"/>
        <item x="483"/>
        <item x="221"/>
        <item x="495"/>
        <item x="42"/>
        <item x="327"/>
        <item x="341"/>
        <item x="409"/>
        <item x="472"/>
        <item x="162"/>
        <item x="383"/>
        <item x="374"/>
        <item x="280"/>
        <item x="258"/>
        <item x="9"/>
        <item x="475"/>
        <item x="104"/>
        <item x="125"/>
        <item x="321"/>
        <item x="225"/>
        <item x="264"/>
        <item x="355"/>
        <item x="412"/>
        <item x="400"/>
        <item x="129"/>
        <item x="459"/>
        <item x="350"/>
        <item x="339"/>
        <item x="311"/>
        <item x="413"/>
        <item x="140"/>
        <item x="359"/>
        <item x="59"/>
        <item x="317"/>
        <item x="379"/>
        <item x="58"/>
        <item x="89"/>
        <item x="438"/>
        <item x="488"/>
        <item x="315"/>
        <item x="249"/>
        <item x="149"/>
        <item x="239"/>
        <item x="201"/>
        <item x="8"/>
        <item x="190"/>
        <item x="234"/>
        <item x="365"/>
        <item x="349"/>
        <item x="21"/>
        <item x="212"/>
        <item x="427"/>
        <item x="4"/>
        <item x="255"/>
        <item x="474"/>
        <item x="467"/>
        <item x="47"/>
        <item x="41"/>
        <item x="63"/>
        <item x="120"/>
        <item x="376"/>
        <item x="313"/>
        <item x="230"/>
        <item x="134"/>
        <item x="177"/>
        <item x="416"/>
        <item x="62"/>
        <item x="118"/>
        <item x="87"/>
        <item x="247"/>
        <item x="267"/>
        <item x="145"/>
        <item x="256"/>
        <item x="367"/>
        <item x="373"/>
        <item x="345"/>
        <item x="101"/>
        <item x="344"/>
        <item x="167"/>
        <item x="154"/>
        <item x="375"/>
        <item x="420"/>
        <item x="66"/>
        <item x="153"/>
        <item x="304"/>
        <item x="244"/>
        <item x="398"/>
        <item x="278"/>
        <item x="136"/>
        <item x="289"/>
        <item x="238"/>
        <item x="0"/>
        <item x="352"/>
        <item x="253"/>
        <item x="27"/>
        <item x="51"/>
        <item x="65"/>
        <item x="250"/>
        <item x="482"/>
        <item x="415"/>
        <item x="161"/>
        <item x="422"/>
        <item x="382"/>
        <item x="370"/>
        <item x="55"/>
        <item x="68"/>
        <item x="166"/>
        <item x="435"/>
        <item x="362"/>
        <item x="403"/>
        <item x="283"/>
        <item x="449"/>
        <item x="462"/>
        <item x="396"/>
        <item x="440"/>
        <item x="388"/>
        <item x="23"/>
        <item x="290"/>
        <item x="147"/>
        <item x="397"/>
        <item x="7"/>
        <item x="351"/>
        <item x="175"/>
        <item x="193"/>
        <item x="19"/>
        <item x="489"/>
        <item x="108"/>
        <item x="343"/>
        <item x="377"/>
        <item x="192"/>
        <item x="285"/>
        <item x="187"/>
        <item x="18"/>
        <item x="14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_Amoun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G3:H9" firstHeaderRow="1" firstDataRow="1" firstDataCol="1"/>
  <pivotFields count="2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5"/>
        <item x="3"/>
        <item x="0"/>
        <item x="2"/>
        <item x="1"/>
        <item x="4"/>
        <item t="default"/>
      </items>
    </pivotField>
    <pivotField compact="0" showAll="0"/>
    <pivotField dataField="1" compact="0" showAll="0">
      <items count="6">
        <item x="2"/>
        <item x="1"/>
        <item x="0"/>
        <item x="4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Disease" fld="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G12:H16" firstHeaderRow="1" firstDataRow="1" firstDataCol="1"/>
  <pivotFields count="2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2"/>
        <item x="3"/>
        <item x="1"/>
        <item t="default"/>
      </items>
    </pivotField>
    <pivotField dataField="1" compact="0" showAll="0">
      <items count="500">
        <item x="391"/>
        <item x="29"/>
        <item x="477"/>
        <item x="119"/>
        <item x="116"/>
        <item x="156"/>
        <item x="206"/>
        <item x="262"/>
        <item x="98"/>
        <item x="73"/>
        <item x="25"/>
        <item x="106"/>
        <item x="276"/>
        <item x="83"/>
        <item x="305"/>
        <item x="448"/>
        <item x="353"/>
        <item x="324"/>
        <item x="300"/>
        <item x="347"/>
        <item x="414"/>
        <item x="265"/>
        <item x="402"/>
        <item x="200"/>
        <item x="39"/>
        <item x="80"/>
        <item x="84"/>
        <item x="33"/>
        <item x="102"/>
        <item x="465"/>
        <item x="61"/>
        <item x="424"/>
        <item x="222"/>
        <item x="93"/>
        <item x="115"/>
        <item x="386"/>
        <item x="70"/>
        <item x="479"/>
        <item x="434"/>
        <item x="451"/>
        <item x="277"/>
        <item x="302"/>
        <item x="426"/>
        <item x="242"/>
        <item x="152"/>
        <item x="354"/>
        <item x="270"/>
        <item x="194"/>
        <item x="111"/>
        <item x="13"/>
        <item x="494"/>
        <item x="484"/>
        <item x="11"/>
        <item x="69"/>
        <item x="491"/>
        <item x="318"/>
        <item x="213"/>
        <item x="81"/>
        <item x="5"/>
        <item x="272"/>
        <item x="405"/>
        <item x="266"/>
        <item x="171"/>
        <item x="36"/>
        <item x="2"/>
        <item x="392"/>
        <item x="284"/>
        <item x="157"/>
        <item x="233"/>
        <item x="428"/>
        <item x="97"/>
        <item x="179"/>
        <item x="496"/>
        <item x="183"/>
        <item x="204"/>
        <item x="14"/>
        <item x="22"/>
        <item x="158"/>
        <item x="205"/>
        <item x="85"/>
        <item x="364"/>
        <item x="60"/>
        <item x="319"/>
        <item x="48"/>
        <item x="337"/>
        <item x="439"/>
        <item x="198"/>
        <item x="369"/>
        <item x="441"/>
        <item x="117"/>
        <item x="469"/>
        <item x="150"/>
        <item x="30"/>
        <item x="227"/>
        <item x="203"/>
        <item x="112"/>
        <item x="235"/>
        <item x="361"/>
        <item x="312"/>
        <item x="218"/>
        <item x="481"/>
        <item x="463"/>
        <item x="348"/>
        <item x="74"/>
        <item x="338"/>
        <item x="146"/>
        <item x="286"/>
        <item x="219"/>
        <item x="360"/>
        <item x="458"/>
        <item x="281"/>
        <item x="186"/>
        <item x="35"/>
        <item x="468"/>
        <item x="173"/>
        <item x="292"/>
        <item x="390"/>
        <item x="393"/>
        <item x="209"/>
        <item x="288"/>
        <item x="275"/>
        <item x="82"/>
        <item x="498"/>
        <item x="485"/>
        <item x="457"/>
        <item x="159"/>
        <item x="261"/>
        <item x="308"/>
        <item x="470"/>
        <item x="78"/>
        <item x="442"/>
        <item x="96"/>
        <item x="155"/>
        <item x="450"/>
        <item x="100"/>
        <item x="419"/>
        <item x="67"/>
        <item x="50"/>
        <item x="196"/>
        <item x="303"/>
        <item x="480"/>
        <item x="328"/>
        <item x="478"/>
        <item x="466"/>
        <item x="77"/>
        <item x="17"/>
        <item x="320"/>
        <item x="342"/>
        <item x="460"/>
        <item x="330"/>
        <item x="195"/>
        <item x="380"/>
        <item x="72"/>
        <item x="301"/>
        <item x="229"/>
        <item x="211"/>
        <item x="444"/>
        <item x="325"/>
        <item x="245"/>
        <item x="185"/>
        <item x="191"/>
        <item x="437"/>
        <item x="385"/>
        <item x="331"/>
        <item x="279"/>
        <item x="323"/>
        <item x="53"/>
        <item x="432"/>
        <item x="181"/>
        <item x="237"/>
        <item x="357"/>
        <item x="295"/>
        <item x="231"/>
        <item x="180"/>
        <item x="236"/>
        <item x="497"/>
        <item x="32"/>
        <item x="387"/>
        <item x="418"/>
        <item x="127"/>
        <item x="384"/>
        <item x="37"/>
        <item x="174"/>
        <item x="487"/>
        <item x="492"/>
        <item x="263"/>
        <item x="429"/>
        <item x="260"/>
        <item x="372"/>
        <item x="476"/>
        <item x="75"/>
        <item x="208"/>
        <item x="71"/>
        <item x="411"/>
        <item x="165"/>
        <item x="215"/>
        <item x="493"/>
        <item x="251"/>
        <item x="336"/>
        <item x="217"/>
        <item x="246"/>
        <item x="12"/>
        <item x="461"/>
        <item x="110"/>
        <item x="408"/>
        <item x="399"/>
        <item x="486"/>
        <item x="309"/>
        <item x="299"/>
        <item x="34"/>
        <item x="188"/>
        <item x="172"/>
        <item x="378"/>
        <item x="169"/>
        <item x="436"/>
        <item x="168"/>
        <item x="189"/>
        <item x="259"/>
        <item x="314"/>
        <item x="54"/>
        <item x="464"/>
        <item x="252"/>
        <item x="197"/>
        <item x="107"/>
        <item x="10"/>
        <item x="298"/>
        <item x="316"/>
        <item x="90"/>
        <item x="88"/>
        <item x="20"/>
        <item x="52"/>
        <item x="297"/>
        <item x="24"/>
        <item x="421"/>
        <item x="122"/>
        <item x="366"/>
        <item x="490"/>
        <item x="455"/>
        <item x="216"/>
        <item x="132"/>
        <item x="44"/>
        <item x="322"/>
        <item x="124"/>
        <item x="334"/>
        <item x="160"/>
        <item x="199"/>
        <item x="257"/>
        <item x="224"/>
        <item x="368"/>
        <item x="105"/>
        <item x="38"/>
        <item x="26"/>
        <item x="148"/>
        <item x="126"/>
        <item x="182"/>
        <item x="28"/>
        <item x="473"/>
        <item x="417"/>
        <item x="269"/>
        <item x="291"/>
        <item x="131"/>
        <item x="293"/>
        <item x="287"/>
        <item x="92"/>
        <item x="164"/>
        <item x="45"/>
        <item x="128"/>
        <item x="139"/>
        <item x="138"/>
        <item x="443"/>
        <item x="452"/>
        <item x="456"/>
        <item x="91"/>
        <item x="57"/>
        <item x="307"/>
        <item x="243"/>
        <item x="254"/>
        <item x="214"/>
        <item x="113"/>
        <item x="3"/>
        <item x="184"/>
        <item x="389"/>
        <item x="76"/>
        <item x="46"/>
        <item x="49"/>
        <item x="329"/>
        <item x="40"/>
        <item x="226"/>
        <item x="135"/>
        <item x="56"/>
        <item x="210"/>
        <item x="163"/>
        <item x="454"/>
        <item x="430"/>
        <item x="306"/>
        <item x="406"/>
        <item x="207"/>
        <item x="294"/>
        <item x="346"/>
        <item x="137"/>
        <item x="395"/>
        <item x="64"/>
        <item x="453"/>
        <item x="407"/>
        <item x="273"/>
        <item x="471"/>
        <item x="220"/>
        <item x="170"/>
        <item x="103"/>
        <item x="381"/>
        <item x="79"/>
        <item x="363"/>
        <item x="142"/>
        <item x="271"/>
        <item x="15"/>
        <item x="282"/>
        <item x="95"/>
        <item x="371"/>
        <item x="340"/>
        <item x="335"/>
        <item x="133"/>
        <item x="114"/>
        <item x="228"/>
        <item x="6"/>
        <item x="121"/>
        <item x="296"/>
        <item x="94"/>
        <item x="404"/>
        <item x="31"/>
        <item x="431"/>
        <item x="109"/>
        <item x="423"/>
        <item x="143"/>
        <item x="310"/>
        <item x="425"/>
        <item x="1"/>
        <item x="394"/>
        <item x="130"/>
        <item x="151"/>
        <item x="86"/>
        <item x="176"/>
        <item x="447"/>
        <item x="326"/>
        <item x="223"/>
        <item x="232"/>
        <item x="445"/>
        <item x="410"/>
        <item x="433"/>
        <item x="274"/>
        <item x="358"/>
        <item x="16"/>
        <item x="332"/>
        <item x="248"/>
        <item x="401"/>
        <item x="446"/>
        <item x="240"/>
        <item x="99"/>
        <item x="241"/>
        <item x="178"/>
        <item x="202"/>
        <item x="43"/>
        <item x="141"/>
        <item x="356"/>
        <item x="123"/>
        <item x="333"/>
        <item x="268"/>
        <item x="483"/>
        <item x="221"/>
        <item x="495"/>
        <item x="42"/>
        <item x="327"/>
        <item x="341"/>
        <item x="409"/>
        <item x="472"/>
        <item x="162"/>
        <item x="383"/>
        <item x="374"/>
        <item x="280"/>
        <item x="258"/>
        <item x="9"/>
        <item x="475"/>
        <item x="104"/>
        <item x="125"/>
        <item x="321"/>
        <item x="225"/>
        <item x="264"/>
        <item x="355"/>
        <item x="412"/>
        <item x="400"/>
        <item x="129"/>
        <item x="459"/>
        <item x="350"/>
        <item x="339"/>
        <item x="311"/>
        <item x="413"/>
        <item x="140"/>
        <item x="359"/>
        <item x="59"/>
        <item x="317"/>
        <item x="379"/>
        <item x="58"/>
        <item x="89"/>
        <item x="438"/>
        <item x="488"/>
        <item x="315"/>
        <item x="249"/>
        <item x="149"/>
        <item x="239"/>
        <item x="201"/>
        <item x="8"/>
        <item x="190"/>
        <item x="234"/>
        <item x="365"/>
        <item x="349"/>
        <item x="21"/>
        <item x="212"/>
        <item x="427"/>
        <item x="4"/>
        <item x="255"/>
        <item x="474"/>
        <item x="467"/>
        <item x="47"/>
        <item x="41"/>
        <item x="63"/>
        <item x="120"/>
        <item x="376"/>
        <item x="313"/>
        <item x="230"/>
        <item x="134"/>
        <item x="177"/>
        <item x="416"/>
        <item x="62"/>
        <item x="118"/>
        <item x="87"/>
        <item x="247"/>
        <item x="267"/>
        <item x="145"/>
        <item x="256"/>
        <item x="367"/>
        <item x="373"/>
        <item x="345"/>
        <item x="101"/>
        <item x="344"/>
        <item x="167"/>
        <item x="154"/>
        <item x="375"/>
        <item x="420"/>
        <item x="66"/>
        <item x="153"/>
        <item x="304"/>
        <item x="244"/>
        <item x="398"/>
        <item x="278"/>
        <item x="136"/>
        <item x="289"/>
        <item x="238"/>
        <item x="0"/>
        <item x="352"/>
        <item x="253"/>
        <item x="27"/>
        <item x="51"/>
        <item x="65"/>
        <item x="250"/>
        <item x="482"/>
        <item x="415"/>
        <item x="161"/>
        <item x="422"/>
        <item x="382"/>
        <item x="370"/>
        <item x="55"/>
        <item x="68"/>
        <item x="166"/>
        <item x="435"/>
        <item x="362"/>
        <item x="403"/>
        <item x="283"/>
        <item x="449"/>
        <item x="462"/>
        <item x="396"/>
        <item x="440"/>
        <item x="388"/>
        <item x="23"/>
        <item x="290"/>
        <item x="147"/>
        <item x="397"/>
        <item x="7"/>
        <item x="351"/>
        <item x="175"/>
        <item x="193"/>
        <item x="19"/>
        <item x="489"/>
        <item x="108"/>
        <item x="343"/>
        <item x="377"/>
        <item x="192"/>
        <item x="285"/>
        <item x="187"/>
        <item x="18"/>
        <item x="14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_Amoun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J3:K7" firstHeaderRow="1" firstDataRow="1" firstDataCol="1"/>
  <pivotFields count="20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>
      <items count="51">
        <item x="23"/>
        <item x="18"/>
        <item x="2"/>
        <item x="13"/>
        <item x="11"/>
        <item x="20"/>
        <item x="35"/>
        <item x="36"/>
        <item x="43"/>
        <item x="38"/>
        <item x="28"/>
        <item x="49"/>
        <item x="47"/>
        <item x="12"/>
        <item x="3"/>
        <item x="44"/>
        <item x="10"/>
        <item x="5"/>
        <item x="30"/>
        <item x="40"/>
        <item x="45"/>
        <item x="32"/>
        <item x="42"/>
        <item x="9"/>
        <item x="33"/>
        <item x="26"/>
        <item x="29"/>
        <item x="37"/>
        <item x="1"/>
        <item x="24"/>
        <item x="21"/>
        <item x="19"/>
        <item x="8"/>
        <item x="39"/>
        <item x="4"/>
        <item x="16"/>
        <item x="41"/>
        <item x="6"/>
        <item x="7"/>
        <item x="14"/>
        <item x="46"/>
        <item x="31"/>
        <item x="17"/>
        <item x="0"/>
        <item x="34"/>
        <item x="22"/>
        <item x="25"/>
        <item x="48"/>
        <item x="15"/>
        <item x="2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Quantity_Sold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J12:L14" firstHeaderRow="0" firstDataRow="1" firstDataCol="1"/>
  <pivotFields count="20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0" showAll="0"/>
    <pivotField compact="0" showAll="0"/>
    <pivotField dataField="1" compact="0" showAll="0">
      <items count="6">
        <item x="0"/>
        <item x="4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</pivotFields>
  <rowFields count="1">
    <field x="17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Sale_ID" fld="0" baseField="0" baseItem="0"/>
    <dataField name="Count of State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T501" totalsRowShown="0">
  <autoFilter xmlns:etc="http://www.wps.cn/officeDocument/2017/etCustomData" ref="A1:T501" etc:filterBottomFollowUsedRange="0"/>
  <tableColumns count="20">
    <tableColumn id="1" name="Sale_ID"/>
    <tableColumn id="2" name="Sale_Date" dataDxfId="0"/>
    <tableColumn id="3" name="Region"/>
    <tableColumn id="4" name="State"/>
    <tableColumn id="5" name="City"/>
    <tableColumn id="21" name="Gender"/>
    <tableColumn id="7" name="Age_Group"/>
    <tableColumn id="22" name="Season"/>
    <tableColumn id="9" name="Disease"/>
    <tableColumn id="10" name="Medicine_Name"/>
    <tableColumn id="11" name="Quantity_Sold"/>
    <tableColumn id="12" name="Unit_Price"/>
    <tableColumn id="13" name="Discount_%"/>
    <tableColumn id="14" name="Total_Amount" dataDxfId="1">
      <calculatedColumnFormula>PRODUCT(K2,L2)</calculatedColumnFormula>
    </tableColumn>
    <tableColumn id="15" name="Sales_Channel"/>
    <tableColumn id="16" name="Payment_Mode"/>
    <tableColumn id="17" name="Doctor_Prescribed"/>
    <tableColumn id="18" name="Return_Flag"/>
    <tableColumn id="19" name="Customer_Rating"/>
    <tableColumn id="20" name="Remarks"/>
  </tableColumns>
  <tableStyleInfo name="TableStylePreset11_Accent1" showFirstColumn="1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1"/>
  <sheetViews>
    <sheetView zoomScaleSheetLayoutView="60" workbookViewId="0">
      <selection activeCell="N11" sqref="N11"/>
    </sheetView>
  </sheetViews>
  <sheetFormatPr defaultColWidth="10.2857142857143"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s="14">
        <v>45985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44</v>
      </c>
      <c r="L2">
        <v>75.36</v>
      </c>
      <c r="O2" t="s">
        <v>28</v>
      </c>
      <c r="P2" t="s">
        <v>29</v>
      </c>
      <c r="Q2" t="s">
        <v>30</v>
      </c>
      <c r="R2" t="s">
        <v>31</v>
      </c>
      <c r="S2">
        <v>1</v>
      </c>
      <c r="T2" t="s">
        <v>32</v>
      </c>
    </row>
    <row r="3" spans="1:20">
      <c r="A3">
        <v>2</v>
      </c>
      <c r="B3" s="14">
        <v>45777</v>
      </c>
      <c r="C3" t="s">
        <v>33</v>
      </c>
      <c r="D3" t="s">
        <v>34</v>
      </c>
      <c r="E3" t="s">
        <v>35</v>
      </c>
      <c r="F3" t="s">
        <v>36</v>
      </c>
      <c r="G3" t="s">
        <v>24</v>
      </c>
      <c r="H3" t="s">
        <v>37</v>
      </c>
      <c r="I3" t="s">
        <v>38</v>
      </c>
      <c r="J3" t="s">
        <v>39</v>
      </c>
      <c r="K3">
        <v>29</v>
      </c>
      <c r="L3">
        <v>60.98</v>
      </c>
      <c r="M3">
        <v>0</v>
      </c>
      <c r="O3" t="s">
        <v>40</v>
      </c>
      <c r="P3" t="s">
        <v>29</v>
      </c>
      <c r="Q3" t="s">
        <v>41</v>
      </c>
      <c r="R3" t="s">
        <v>42</v>
      </c>
      <c r="S3">
        <v>2</v>
      </c>
      <c r="T3" t="s">
        <v>32</v>
      </c>
    </row>
    <row r="4" spans="1:20">
      <c r="A4">
        <v>3</v>
      </c>
      <c r="B4" s="14">
        <v>45830</v>
      </c>
      <c r="C4" t="s">
        <v>20</v>
      </c>
      <c r="D4" t="s">
        <v>21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>
        <v>3</v>
      </c>
      <c r="L4">
        <v>74.32</v>
      </c>
      <c r="O4" t="s">
        <v>28</v>
      </c>
      <c r="P4" t="s">
        <v>29</v>
      </c>
      <c r="Q4" t="s">
        <v>30</v>
      </c>
      <c r="S4">
        <v>3</v>
      </c>
      <c r="T4" t="s">
        <v>49</v>
      </c>
    </row>
    <row r="5" spans="1:20">
      <c r="A5">
        <v>4</v>
      </c>
      <c r="B5" s="14">
        <v>45953</v>
      </c>
      <c r="C5" t="s">
        <v>50</v>
      </c>
      <c r="D5" t="s">
        <v>51</v>
      </c>
      <c r="E5" t="s">
        <v>52</v>
      </c>
      <c r="F5" t="s">
        <v>44</v>
      </c>
      <c r="H5" t="s">
        <v>25</v>
      </c>
      <c r="I5" t="s">
        <v>53</v>
      </c>
      <c r="J5" t="s">
        <v>27</v>
      </c>
      <c r="K5">
        <v>15</v>
      </c>
      <c r="L5">
        <v>87.32</v>
      </c>
      <c r="M5">
        <v>15</v>
      </c>
      <c r="O5" t="s">
        <v>54</v>
      </c>
      <c r="P5" t="s">
        <v>29</v>
      </c>
      <c r="Q5" t="s">
        <v>41</v>
      </c>
      <c r="R5" t="s">
        <v>31</v>
      </c>
      <c r="S5">
        <v>3</v>
      </c>
      <c r="T5" t="s">
        <v>49</v>
      </c>
    </row>
    <row r="6" spans="1:20">
      <c r="A6">
        <v>5</v>
      </c>
      <c r="B6" s="14">
        <v>45765</v>
      </c>
      <c r="C6" t="s">
        <v>55</v>
      </c>
      <c r="D6" t="s">
        <v>56</v>
      </c>
      <c r="E6" t="s">
        <v>57</v>
      </c>
      <c r="H6" t="s">
        <v>58</v>
      </c>
      <c r="I6" t="s">
        <v>47</v>
      </c>
      <c r="J6" t="s">
        <v>39</v>
      </c>
      <c r="K6">
        <v>35</v>
      </c>
      <c r="L6">
        <v>74.27</v>
      </c>
      <c r="M6">
        <v>5</v>
      </c>
      <c r="O6" t="s">
        <v>59</v>
      </c>
      <c r="P6" t="s">
        <v>29</v>
      </c>
      <c r="Q6" t="s">
        <v>41</v>
      </c>
      <c r="T6" t="s">
        <v>32</v>
      </c>
    </row>
    <row r="7" spans="1:18">
      <c r="A7">
        <v>6</v>
      </c>
      <c r="B7" s="14">
        <v>46008</v>
      </c>
      <c r="C7" t="s">
        <v>60</v>
      </c>
      <c r="D7" t="s">
        <v>61</v>
      </c>
      <c r="E7" t="s">
        <v>62</v>
      </c>
      <c r="F7" t="s">
        <v>44</v>
      </c>
      <c r="G7" t="s">
        <v>24</v>
      </c>
      <c r="H7" t="s">
        <v>58</v>
      </c>
      <c r="I7" t="s">
        <v>53</v>
      </c>
      <c r="J7" t="s">
        <v>63</v>
      </c>
      <c r="K7">
        <v>18</v>
      </c>
      <c r="L7">
        <v>11.29</v>
      </c>
      <c r="O7" t="s">
        <v>54</v>
      </c>
      <c r="P7" t="s">
        <v>64</v>
      </c>
      <c r="Q7" t="s">
        <v>65</v>
      </c>
      <c r="R7" t="s">
        <v>42</v>
      </c>
    </row>
    <row r="8" spans="1:20">
      <c r="A8">
        <v>7</v>
      </c>
      <c r="B8" s="14">
        <v>45731</v>
      </c>
      <c r="C8" t="s">
        <v>60</v>
      </c>
      <c r="D8" t="s">
        <v>66</v>
      </c>
      <c r="E8" t="s">
        <v>67</v>
      </c>
      <c r="G8" t="s">
        <v>68</v>
      </c>
      <c r="H8" t="s">
        <v>37</v>
      </c>
      <c r="I8" t="s">
        <v>53</v>
      </c>
      <c r="J8" t="s">
        <v>63</v>
      </c>
      <c r="K8">
        <v>38</v>
      </c>
      <c r="L8">
        <v>42.94</v>
      </c>
      <c r="M8">
        <v>5</v>
      </c>
      <c r="O8" t="s">
        <v>40</v>
      </c>
      <c r="P8" t="s">
        <v>29</v>
      </c>
      <c r="Q8" t="s">
        <v>30</v>
      </c>
      <c r="R8" t="s">
        <v>31</v>
      </c>
      <c r="S8">
        <v>1</v>
      </c>
      <c r="T8" t="s">
        <v>32</v>
      </c>
    </row>
    <row r="9" spans="1:20">
      <c r="A9">
        <v>8</v>
      </c>
      <c r="B9" s="14">
        <v>45979</v>
      </c>
      <c r="C9" t="s">
        <v>50</v>
      </c>
      <c r="D9" t="s">
        <v>61</v>
      </c>
      <c r="E9" t="s">
        <v>69</v>
      </c>
      <c r="F9" t="s">
        <v>70</v>
      </c>
      <c r="G9" t="s">
        <v>68</v>
      </c>
      <c r="H9" t="s">
        <v>58</v>
      </c>
      <c r="I9" t="s">
        <v>38</v>
      </c>
      <c r="J9" t="s">
        <v>63</v>
      </c>
      <c r="K9">
        <v>39</v>
      </c>
      <c r="L9">
        <v>99.63</v>
      </c>
      <c r="O9" t="s">
        <v>54</v>
      </c>
      <c r="P9" t="s">
        <v>71</v>
      </c>
      <c r="Q9" t="s">
        <v>30</v>
      </c>
      <c r="S9">
        <v>5</v>
      </c>
      <c r="T9" t="s">
        <v>49</v>
      </c>
    </row>
    <row r="10" spans="1:20">
      <c r="A10">
        <v>9</v>
      </c>
      <c r="B10" s="14">
        <v>45986</v>
      </c>
      <c r="C10" t="s">
        <v>60</v>
      </c>
      <c r="D10" t="s">
        <v>21</v>
      </c>
      <c r="E10" t="s">
        <v>72</v>
      </c>
      <c r="F10" t="s">
        <v>70</v>
      </c>
      <c r="G10" t="s">
        <v>24</v>
      </c>
      <c r="H10" t="s">
        <v>73</v>
      </c>
      <c r="I10" t="s">
        <v>74</v>
      </c>
      <c r="J10" t="s">
        <v>48</v>
      </c>
      <c r="K10">
        <v>33</v>
      </c>
      <c r="L10">
        <v>77.39</v>
      </c>
      <c r="O10" t="s">
        <v>28</v>
      </c>
      <c r="P10" t="s">
        <v>75</v>
      </c>
      <c r="Q10" t="s">
        <v>76</v>
      </c>
      <c r="R10" t="s">
        <v>31</v>
      </c>
      <c r="S10">
        <v>3</v>
      </c>
      <c r="T10" t="s">
        <v>32</v>
      </c>
    </row>
    <row r="11" spans="1:19">
      <c r="A11">
        <v>10</v>
      </c>
      <c r="B11" s="14">
        <v>45934</v>
      </c>
      <c r="C11" t="s">
        <v>77</v>
      </c>
      <c r="D11" t="s">
        <v>34</v>
      </c>
      <c r="E11" t="s">
        <v>78</v>
      </c>
      <c r="F11" t="s">
        <v>36</v>
      </c>
      <c r="G11" t="s">
        <v>45</v>
      </c>
      <c r="H11" t="s">
        <v>73</v>
      </c>
      <c r="I11" t="s">
        <v>74</v>
      </c>
      <c r="J11" t="s">
        <v>27</v>
      </c>
      <c r="K11">
        <v>24</v>
      </c>
      <c r="L11">
        <v>88.48</v>
      </c>
      <c r="M11">
        <v>10</v>
      </c>
      <c r="O11" t="s">
        <v>40</v>
      </c>
      <c r="P11" t="s">
        <v>71</v>
      </c>
      <c r="Q11" t="s">
        <v>76</v>
      </c>
      <c r="S11">
        <v>1</v>
      </c>
    </row>
    <row r="12" spans="1:19">
      <c r="A12">
        <v>11</v>
      </c>
      <c r="B12" s="14">
        <v>45906</v>
      </c>
      <c r="C12" t="s">
        <v>77</v>
      </c>
      <c r="D12" t="s">
        <v>21</v>
      </c>
      <c r="E12" t="s">
        <v>79</v>
      </c>
      <c r="F12" t="s">
        <v>36</v>
      </c>
      <c r="G12" t="s">
        <v>24</v>
      </c>
      <c r="H12" t="s">
        <v>25</v>
      </c>
      <c r="I12" t="s">
        <v>38</v>
      </c>
      <c r="J12" t="s">
        <v>39</v>
      </c>
      <c r="K12">
        <v>17</v>
      </c>
      <c r="L12">
        <v>55.13</v>
      </c>
      <c r="O12" t="s">
        <v>59</v>
      </c>
      <c r="P12" t="s">
        <v>64</v>
      </c>
      <c r="Q12" t="s">
        <v>76</v>
      </c>
      <c r="S12">
        <v>3</v>
      </c>
    </row>
    <row r="13" spans="1:18">
      <c r="A13">
        <v>12</v>
      </c>
      <c r="B13" s="14">
        <v>46001</v>
      </c>
      <c r="C13" t="s">
        <v>55</v>
      </c>
      <c r="D13" t="s">
        <v>56</v>
      </c>
      <c r="E13" t="s">
        <v>80</v>
      </c>
      <c r="F13" t="s">
        <v>36</v>
      </c>
      <c r="G13" t="s">
        <v>81</v>
      </c>
      <c r="H13" t="s">
        <v>58</v>
      </c>
      <c r="I13" t="s">
        <v>26</v>
      </c>
      <c r="J13" t="s">
        <v>39</v>
      </c>
      <c r="K13">
        <v>5</v>
      </c>
      <c r="L13">
        <v>37.12</v>
      </c>
      <c r="O13" t="s">
        <v>40</v>
      </c>
      <c r="P13" t="s">
        <v>64</v>
      </c>
      <c r="Q13" t="s">
        <v>30</v>
      </c>
      <c r="R13" t="s">
        <v>31</v>
      </c>
    </row>
    <row r="14" spans="1:19">
      <c r="A14">
        <v>13</v>
      </c>
      <c r="B14" s="14">
        <v>45775</v>
      </c>
      <c r="C14" t="s">
        <v>20</v>
      </c>
      <c r="D14" t="s">
        <v>21</v>
      </c>
      <c r="E14" t="s">
        <v>82</v>
      </c>
      <c r="F14" t="s">
        <v>44</v>
      </c>
      <c r="G14" t="s">
        <v>68</v>
      </c>
      <c r="H14" t="s">
        <v>25</v>
      </c>
      <c r="I14" t="s">
        <v>53</v>
      </c>
      <c r="J14" t="s">
        <v>63</v>
      </c>
      <c r="K14">
        <v>14</v>
      </c>
      <c r="L14">
        <v>56.23</v>
      </c>
      <c r="O14" t="s">
        <v>59</v>
      </c>
      <c r="P14" t="s">
        <v>64</v>
      </c>
      <c r="Q14" t="s">
        <v>65</v>
      </c>
      <c r="R14" t="s">
        <v>42</v>
      </c>
      <c r="S14">
        <v>2</v>
      </c>
    </row>
    <row r="15" spans="1:19">
      <c r="A15">
        <v>14</v>
      </c>
      <c r="B15" s="14">
        <v>45707</v>
      </c>
      <c r="C15" t="s">
        <v>55</v>
      </c>
      <c r="D15" t="s">
        <v>83</v>
      </c>
      <c r="E15" t="s">
        <v>84</v>
      </c>
      <c r="F15" t="s">
        <v>70</v>
      </c>
      <c r="G15" t="s">
        <v>81</v>
      </c>
      <c r="H15" t="s">
        <v>73</v>
      </c>
      <c r="I15" t="s">
        <v>74</v>
      </c>
      <c r="J15" t="s">
        <v>27</v>
      </c>
      <c r="K15">
        <v>4</v>
      </c>
      <c r="L15">
        <v>43.25</v>
      </c>
      <c r="M15">
        <v>10</v>
      </c>
      <c r="O15" t="s">
        <v>28</v>
      </c>
      <c r="P15" t="s">
        <v>64</v>
      </c>
      <c r="Q15" t="s">
        <v>76</v>
      </c>
      <c r="R15" t="s">
        <v>31</v>
      </c>
      <c r="S15">
        <v>5</v>
      </c>
    </row>
    <row r="16" spans="1:19">
      <c r="A16">
        <v>15</v>
      </c>
      <c r="B16" s="14">
        <v>45729</v>
      </c>
      <c r="C16" t="s">
        <v>85</v>
      </c>
      <c r="D16" t="s">
        <v>66</v>
      </c>
      <c r="E16" t="s">
        <v>86</v>
      </c>
      <c r="F16" t="s">
        <v>70</v>
      </c>
      <c r="G16" t="s">
        <v>24</v>
      </c>
      <c r="H16" t="s">
        <v>58</v>
      </c>
      <c r="I16" t="s">
        <v>38</v>
      </c>
      <c r="J16" t="s">
        <v>27</v>
      </c>
      <c r="K16">
        <v>4</v>
      </c>
      <c r="L16">
        <v>66.95</v>
      </c>
      <c r="O16" t="s">
        <v>28</v>
      </c>
      <c r="P16" t="s">
        <v>71</v>
      </c>
      <c r="Q16" t="s">
        <v>76</v>
      </c>
      <c r="R16" t="s">
        <v>31</v>
      </c>
      <c r="S16">
        <v>4</v>
      </c>
    </row>
    <row r="17" spans="1:20">
      <c r="A17">
        <v>16</v>
      </c>
      <c r="B17" s="14">
        <v>45904</v>
      </c>
      <c r="C17" t="s">
        <v>50</v>
      </c>
      <c r="D17" t="s">
        <v>61</v>
      </c>
      <c r="E17" t="s">
        <v>87</v>
      </c>
      <c r="F17" t="s">
        <v>44</v>
      </c>
      <c r="G17" t="s">
        <v>24</v>
      </c>
      <c r="H17" t="s">
        <v>73</v>
      </c>
      <c r="I17" t="s">
        <v>74</v>
      </c>
      <c r="J17" t="s">
        <v>63</v>
      </c>
      <c r="K17">
        <v>17</v>
      </c>
      <c r="L17">
        <v>93.02</v>
      </c>
      <c r="M17">
        <v>15</v>
      </c>
      <c r="O17" t="s">
        <v>54</v>
      </c>
      <c r="P17" t="s">
        <v>29</v>
      </c>
      <c r="Q17" t="s">
        <v>65</v>
      </c>
      <c r="R17" t="s">
        <v>31</v>
      </c>
      <c r="S17">
        <v>2</v>
      </c>
      <c r="T17" t="s">
        <v>49</v>
      </c>
    </row>
    <row r="18" spans="1:19">
      <c r="A18">
        <v>17</v>
      </c>
      <c r="B18" s="14">
        <v>45769</v>
      </c>
      <c r="C18" t="s">
        <v>20</v>
      </c>
      <c r="D18" t="s">
        <v>34</v>
      </c>
      <c r="E18" t="s">
        <v>22</v>
      </c>
      <c r="F18" t="s">
        <v>36</v>
      </c>
      <c r="G18" t="s">
        <v>88</v>
      </c>
      <c r="H18" t="s">
        <v>46</v>
      </c>
      <c r="I18" t="s">
        <v>74</v>
      </c>
      <c r="J18" t="s">
        <v>27</v>
      </c>
      <c r="K18">
        <v>38</v>
      </c>
      <c r="L18">
        <v>50.29</v>
      </c>
      <c r="O18" t="s">
        <v>40</v>
      </c>
      <c r="P18" t="s">
        <v>71</v>
      </c>
      <c r="Q18" t="s">
        <v>30</v>
      </c>
      <c r="R18" t="s">
        <v>31</v>
      </c>
      <c r="S18">
        <v>1</v>
      </c>
    </row>
    <row r="19" spans="1:20">
      <c r="A19">
        <v>18</v>
      </c>
      <c r="B19" s="14">
        <v>46003</v>
      </c>
      <c r="C19" t="s">
        <v>77</v>
      </c>
      <c r="D19" t="s">
        <v>66</v>
      </c>
      <c r="E19" t="s">
        <v>87</v>
      </c>
      <c r="F19" t="s">
        <v>44</v>
      </c>
      <c r="G19" t="s">
        <v>68</v>
      </c>
      <c r="H19" t="s">
        <v>25</v>
      </c>
      <c r="I19" t="s">
        <v>47</v>
      </c>
      <c r="J19" t="s">
        <v>27</v>
      </c>
      <c r="K19">
        <v>40</v>
      </c>
      <c r="L19">
        <v>12.79</v>
      </c>
      <c r="O19" t="s">
        <v>54</v>
      </c>
      <c r="P19" t="s">
        <v>75</v>
      </c>
      <c r="Q19" t="s">
        <v>76</v>
      </c>
      <c r="T19" t="s">
        <v>49</v>
      </c>
    </row>
    <row r="20" spans="1:20">
      <c r="A20">
        <v>19</v>
      </c>
      <c r="B20" s="14">
        <v>45780</v>
      </c>
      <c r="C20" t="s">
        <v>60</v>
      </c>
      <c r="D20" t="s">
        <v>83</v>
      </c>
      <c r="E20" t="s">
        <v>89</v>
      </c>
      <c r="H20" t="s">
        <v>46</v>
      </c>
      <c r="I20" t="s">
        <v>38</v>
      </c>
      <c r="J20" t="s">
        <v>48</v>
      </c>
      <c r="K20">
        <v>49</v>
      </c>
      <c r="L20">
        <v>93.89</v>
      </c>
      <c r="M20">
        <v>0</v>
      </c>
      <c r="O20" t="s">
        <v>59</v>
      </c>
      <c r="P20" t="s">
        <v>71</v>
      </c>
      <c r="Q20" t="s">
        <v>30</v>
      </c>
      <c r="S20">
        <v>2</v>
      </c>
      <c r="T20" t="s">
        <v>49</v>
      </c>
    </row>
    <row r="21" spans="1:19">
      <c r="A21">
        <v>20</v>
      </c>
      <c r="B21" s="14">
        <v>45725</v>
      </c>
      <c r="C21" t="s">
        <v>60</v>
      </c>
      <c r="D21" t="s">
        <v>21</v>
      </c>
      <c r="E21" t="s">
        <v>67</v>
      </c>
      <c r="F21" t="s">
        <v>23</v>
      </c>
      <c r="G21" t="s">
        <v>45</v>
      </c>
      <c r="H21" t="s">
        <v>25</v>
      </c>
      <c r="I21" t="s">
        <v>38</v>
      </c>
      <c r="J21" t="s">
        <v>48</v>
      </c>
      <c r="K21">
        <v>40</v>
      </c>
      <c r="L21">
        <v>98.47</v>
      </c>
      <c r="O21" t="s">
        <v>28</v>
      </c>
      <c r="P21" t="s">
        <v>75</v>
      </c>
      <c r="Q21" t="s">
        <v>30</v>
      </c>
      <c r="R21" t="s">
        <v>31</v>
      </c>
      <c r="S21">
        <v>3</v>
      </c>
    </row>
    <row r="22" spans="1:18">
      <c r="A22">
        <v>21</v>
      </c>
      <c r="B22" s="14">
        <v>45712</v>
      </c>
      <c r="C22" t="s">
        <v>55</v>
      </c>
      <c r="D22" t="s">
        <v>34</v>
      </c>
      <c r="E22" t="s">
        <v>90</v>
      </c>
      <c r="F22" t="s">
        <v>23</v>
      </c>
      <c r="G22" t="s">
        <v>45</v>
      </c>
      <c r="H22" t="s">
        <v>37</v>
      </c>
      <c r="I22" t="s">
        <v>26</v>
      </c>
      <c r="J22" t="s">
        <v>48</v>
      </c>
      <c r="K22">
        <v>14</v>
      </c>
      <c r="L22">
        <v>70.31</v>
      </c>
      <c r="M22">
        <v>10</v>
      </c>
      <c r="O22" t="s">
        <v>59</v>
      </c>
      <c r="P22" t="s">
        <v>75</v>
      </c>
      <c r="Q22" t="s">
        <v>30</v>
      </c>
      <c r="R22" t="s">
        <v>31</v>
      </c>
    </row>
    <row r="23" spans="1:19">
      <c r="A23">
        <v>22</v>
      </c>
      <c r="B23" s="14">
        <v>45799</v>
      </c>
      <c r="C23" t="s">
        <v>20</v>
      </c>
      <c r="D23" t="s">
        <v>21</v>
      </c>
      <c r="E23" t="s">
        <v>82</v>
      </c>
      <c r="F23" t="s">
        <v>91</v>
      </c>
      <c r="H23" t="s">
        <v>46</v>
      </c>
      <c r="I23" t="s">
        <v>26</v>
      </c>
      <c r="J23" t="s">
        <v>63</v>
      </c>
      <c r="K23">
        <v>36</v>
      </c>
      <c r="L23">
        <v>72.04</v>
      </c>
      <c r="O23" t="s">
        <v>28</v>
      </c>
      <c r="P23" t="s">
        <v>71</v>
      </c>
      <c r="Q23" t="s">
        <v>30</v>
      </c>
      <c r="S23">
        <v>2</v>
      </c>
    </row>
    <row r="24" spans="1:20">
      <c r="A24">
        <v>23</v>
      </c>
      <c r="B24" s="14">
        <v>45847</v>
      </c>
      <c r="C24" t="s">
        <v>33</v>
      </c>
      <c r="D24" t="s">
        <v>34</v>
      </c>
      <c r="E24" t="s">
        <v>90</v>
      </c>
      <c r="F24" t="s">
        <v>70</v>
      </c>
      <c r="G24" t="s">
        <v>24</v>
      </c>
      <c r="H24" t="s">
        <v>58</v>
      </c>
      <c r="I24" t="s">
        <v>53</v>
      </c>
      <c r="J24" t="s">
        <v>48</v>
      </c>
      <c r="K24">
        <v>3</v>
      </c>
      <c r="L24">
        <v>90.4</v>
      </c>
      <c r="M24">
        <v>5</v>
      </c>
      <c r="O24" t="s">
        <v>40</v>
      </c>
      <c r="P24" t="s">
        <v>71</v>
      </c>
      <c r="Q24" t="s">
        <v>41</v>
      </c>
      <c r="S24">
        <v>4</v>
      </c>
      <c r="T24" t="s">
        <v>32</v>
      </c>
    </row>
    <row r="25" spans="1:19">
      <c r="A25">
        <v>24</v>
      </c>
      <c r="B25" s="14">
        <v>45779</v>
      </c>
      <c r="C25" t="s">
        <v>77</v>
      </c>
      <c r="D25" t="s">
        <v>66</v>
      </c>
      <c r="E25" t="s">
        <v>92</v>
      </c>
      <c r="F25" t="s">
        <v>70</v>
      </c>
      <c r="G25" t="s">
        <v>88</v>
      </c>
      <c r="H25" t="s">
        <v>25</v>
      </c>
      <c r="I25" t="s">
        <v>53</v>
      </c>
      <c r="J25" t="s">
        <v>63</v>
      </c>
      <c r="K25">
        <v>43</v>
      </c>
      <c r="L25">
        <v>87.09</v>
      </c>
      <c r="M25">
        <v>5</v>
      </c>
      <c r="O25" t="s">
        <v>54</v>
      </c>
      <c r="P25" t="s">
        <v>64</v>
      </c>
      <c r="Q25" t="s">
        <v>30</v>
      </c>
      <c r="R25" t="s">
        <v>42</v>
      </c>
      <c r="S25">
        <v>1</v>
      </c>
    </row>
    <row r="26" spans="1:18">
      <c r="A26">
        <v>25</v>
      </c>
      <c r="B26" s="14">
        <v>45771</v>
      </c>
      <c r="C26" t="s">
        <v>50</v>
      </c>
      <c r="D26" t="s">
        <v>61</v>
      </c>
      <c r="E26" t="s">
        <v>93</v>
      </c>
      <c r="F26" t="s">
        <v>23</v>
      </c>
      <c r="G26" t="s">
        <v>45</v>
      </c>
      <c r="H26" t="s">
        <v>25</v>
      </c>
      <c r="I26" t="s">
        <v>26</v>
      </c>
      <c r="J26" t="s">
        <v>27</v>
      </c>
      <c r="K26">
        <v>43</v>
      </c>
      <c r="L26">
        <v>23.35</v>
      </c>
      <c r="M26">
        <v>10</v>
      </c>
      <c r="O26" t="s">
        <v>54</v>
      </c>
      <c r="P26" t="s">
        <v>71</v>
      </c>
      <c r="Q26" t="s">
        <v>41</v>
      </c>
      <c r="R26" t="s">
        <v>42</v>
      </c>
    </row>
    <row r="27" spans="1:19">
      <c r="A27">
        <v>26</v>
      </c>
      <c r="B27" s="14">
        <v>46005</v>
      </c>
      <c r="C27" t="s">
        <v>77</v>
      </c>
      <c r="D27" t="s">
        <v>34</v>
      </c>
      <c r="E27" t="s">
        <v>82</v>
      </c>
      <c r="F27" t="s">
        <v>44</v>
      </c>
      <c r="G27" t="s">
        <v>88</v>
      </c>
      <c r="H27" t="s">
        <v>46</v>
      </c>
      <c r="I27" t="s">
        <v>26</v>
      </c>
      <c r="J27" t="s">
        <v>48</v>
      </c>
      <c r="K27">
        <v>3</v>
      </c>
      <c r="L27">
        <v>15.3</v>
      </c>
      <c r="M27">
        <v>15</v>
      </c>
      <c r="O27" t="s">
        <v>54</v>
      </c>
      <c r="P27" t="s">
        <v>75</v>
      </c>
      <c r="Q27" t="s">
        <v>65</v>
      </c>
      <c r="S27">
        <v>5</v>
      </c>
    </row>
    <row r="28" spans="1:19">
      <c r="A28">
        <v>27</v>
      </c>
      <c r="B28" s="14">
        <v>45855</v>
      </c>
      <c r="C28" t="s">
        <v>33</v>
      </c>
      <c r="D28" t="s">
        <v>66</v>
      </c>
      <c r="E28" t="s">
        <v>94</v>
      </c>
      <c r="F28" t="s">
        <v>44</v>
      </c>
      <c r="H28" t="s">
        <v>73</v>
      </c>
      <c r="I28" t="s">
        <v>74</v>
      </c>
      <c r="J28" t="s">
        <v>39</v>
      </c>
      <c r="K28">
        <v>24</v>
      </c>
      <c r="L28">
        <v>45.97</v>
      </c>
      <c r="M28">
        <v>10</v>
      </c>
      <c r="O28" t="s">
        <v>54</v>
      </c>
      <c r="P28" t="s">
        <v>71</v>
      </c>
      <c r="Q28" t="s">
        <v>41</v>
      </c>
      <c r="S28">
        <v>3</v>
      </c>
    </row>
    <row r="29" spans="1:20">
      <c r="A29">
        <v>28</v>
      </c>
      <c r="B29" s="14">
        <v>45825</v>
      </c>
      <c r="C29" t="s">
        <v>85</v>
      </c>
      <c r="D29" t="s">
        <v>51</v>
      </c>
      <c r="E29" t="s">
        <v>72</v>
      </c>
      <c r="F29" t="s">
        <v>36</v>
      </c>
      <c r="G29" t="s">
        <v>24</v>
      </c>
      <c r="H29" t="s">
        <v>25</v>
      </c>
      <c r="I29" t="s">
        <v>38</v>
      </c>
      <c r="J29" t="s">
        <v>63</v>
      </c>
      <c r="K29">
        <v>44</v>
      </c>
      <c r="L29">
        <v>76.07</v>
      </c>
      <c r="M29">
        <v>5</v>
      </c>
      <c r="O29" t="s">
        <v>54</v>
      </c>
      <c r="P29" t="s">
        <v>29</v>
      </c>
      <c r="Q29" t="s">
        <v>30</v>
      </c>
      <c r="R29" t="s">
        <v>42</v>
      </c>
      <c r="S29">
        <v>3</v>
      </c>
      <c r="T29" t="s">
        <v>32</v>
      </c>
    </row>
    <row r="30" spans="1:20">
      <c r="A30">
        <v>29</v>
      </c>
      <c r="B30" s="14">
        <v>45878</v>
      </c>
      <c r="C30" t="s">
        <v>77</v>
      </c>
      <c r="D30" t="s">
        <v>34</v>
      </c>
      <c r="E30" t="s">
        <v>95</v>
      </c>
      <c r="G30" t="s">
        <v>45</v>
      </c>
      <c r="H30" t="s">
        <v>73</v>
      </c>
      <c r="I30" t="s">
        <v>38</v>
      </c>
      <c r="J30" t="s">
        <v>63</v>
      </c>
      <c r="K30">
        <v>44</v>
      </c>
      <c r="L30">
        <v>25.3</v>
      </c>
      <c r="M30">
        <v>15</v>
      </c>
      <c r="O30" t="s">
        <v>40</v>
      </c>
      <c r="P30" t="s">
        <v>71</v>
      </c>
      <c r="Q30" t="s">
        <v>41</v>
      </c>
      <c r="T30" t="s">
        <v>49</v>
      </c>
    </row>
    <row r="31" spans="1:20">
      <c r="A31">
        <v>30</v>
      </c>
      <c r="B31" s="14">
        <v>45705</v>
      </c>
      <c r="C31" t="s">
        <v>77</v>
      </c>
      <c r="D31" t="s">
        <v>61</v>
      </c>
      <c r="E31" t="s">
        <v>67</v>
      </c>
      <c r="G31" t="s">
        <v>45</v>
      </c>
      <c r="H31" t="s">
        <v>25</v>
      </c>
      <c r="I31" t="s">
        <v>26</v>
      </c>
      <c r="J31" t="s">
        <v>39</v>
      </c>
      <c r="K31">
        <v>2</v>
      </c>
      <c r="L31">
        <v>9.39</v>
      </c>
      <c r="M31">
        <v>15</v>
      </c>
      <c r="O31" t="s">
        <v>28</v>
      </c>
      <c r="P31" t="s">
        <v>29</v>
      </c>
      <c r="Q31" t="s">
        <v>65</v>
      </c>
      <c r="S31">
        <v>5</v>
      </c>
      <c r="T31" t="s">
        <v>32</v>
      </c>
    </row>
    <row r="32" spans="1:20">
      <c r="A32">
        <v>31</v>
      </c>
      <c r="B32" s="14">
        <v>46014</v>
      </c>
      <c r="C32" t="s">
        <v>85</v>
      </c>
      <c r="D32" t="s">
        <v>83</v>
      </c>
      <c r="E32" t="s">
        <v>87</v>
      </c>
      <c r="F32" t="s">
        <v>91</v>
      </c>
      <c r="G32" t="s">
        <v>24</v>
      </c>
      <c r="H32" t="s">
        <v>58</v>
      </c>
      <c r="I32" t="s">
        <v>74</v>
      </c>
      <c r="J32" t="s">
        <v>63</v>
      </c>
      <c r="K32">
        <v>15</v>
      </c>
      <c r="L32">
        <v>21.71</v>
      </c>
      <c r="O32" t="s">
        <v>59</v>
      </c>
      <c r="P32" t="s">
        <v>71</v>
      </c>
      <c r="Q32" t="s">
        <v>76</v>
      </c>
      <c r="R32" t="s">
        <v>31</v>
      </c>
      <c r="S32">
        <v>4</v>
      </c>
      <c r="T32" t="s">
        <v>32</v>
      </c>
    </row>
    <row r="33" spans="1:20">
      <c r="A33">
        <v>32</v>
      </c>
      <c r="B33" s="14">
        <v>45895</v>
      </c>
      <c r="C33" t="s">
        <v>55</v>
      </c>
      <c r="D33" t="s">
        <v>34</v>
      </c>
      <c r="E33" t="s">
        <v>96</v>
      </c>
      <c r="F33" t="s">
        <v>36</v>
      </c>
      <c r="G33" t="s">
        <v>45</v>
      </c>
      <c r="H33" t="s">
        <v>73</v>
      </c>
      <c r="I33" t="s">
        <v>47</v>
      </c>
      <c r="J33" t="s">
        <v>63</v>
      </c>
      <c r="K33">
        <v>36</v>
      </c>
      <c r="L33">
        <v>47.36</v>
      </c>
      <c r="M33">
        <v>5</v>
      </c>
      <c r="O33" t="s">
        <v>59</v>
      </c>
      <c r="P33" t="s">
        <v>29</v>
      </c>
      <c r="Q33" t="s">
        <v>41</v>
      </c>
      <c r="R33" t="s">
        <v>31</v>
      </c>
      <c r="T33" t="s">
        <v>49</v>
      </c>
    </row>
    <row r="34" spans="1:20">
      <c r="A34">
        <v>33</v>
      </c>
      <c r="B34" s="14">
        <v>45924</v>
      </c>
      <c r="C34" t="s">
        <v>85</v>
      </c>
      <c r="D34" t="s">
        <v>51</v>
      </c>
      <c r="E34" t="s">
        <v>67</v>
      </c>
      <c r="F34" t="s">
        <v>23</v>
      </c>
      <c r="G34" t="s">
        <v>81</v>
      </c>
      <c r="H34" t="s">
        <v>58</v>
      </c>
      <c r="I34" t="s">
        <v>53</v>
      </c>
      <c r="J34" t="s">
        <v>39</v>
      </c>
      <c r="K34">
        <v>18</v>
      </c>
      <c r="L34">
        <v>36.91</v>
      </c>
      <c r="O34" t="s">
        <v>28</v>
      </c>
      <c r="P34" t="s">
        <v>64</v>
      </c>
      <c r="Q34" t="s">
        <v>76</v>
      </c>
      <c r="R34" t="s">
        <v>31</v>
      </c>
      <c r="S34">
        <v>4</v>
      </c>
      <c r="T34" t="s">
        <v>32</v>
      </c>
    </row>
    <row r="35" spans="1:20">
      <c r="A35">
        <v>34</v>
      </c>
      <c r="B35" s="14">
        <v>46019</v>
      </c>
      <c r="C35" t="s">
        <v>50</v>
      </c>
      <c r="D35" t="s">
        <v>21</v>
      </c>
      <c r="E35" t="s">
        <v>97</v>
      </c>
      <c r="F35" t="s">
        <v>70</v>
      </c>
      <c r="G35" t="s">
        <v>45</v>
      </c>
      <c r="H35" t="s">
        <v>37</v>
      </c>
      <c r="I35" t="s">
        <v>38</v>
      </c>
      <c r="J35" t="s">
        <v>63</v>
      </c>
      <c r="K35">
        <v>4</v>
      </c>
      <c r="L35">
        <v>24.65</v>
      </c>
      <c r="M35">
        <v>15</v>
      </c>
      <c r="O35" t="s">
        <v>59</v>
      </c>
      <c r="P35" t="s">
        <v>71</v>
      </c>
      <c r="Q35" t="s">
        <v>65</v>
      </c>
      <c r="R35" t="s">
        <v>42</v>
      </c>
      <c r="S35">
        <v>1</v>
      </c>
      <c r="T35" t="s">
        <v>49</v>
      </c>
    </row>
    <row r="36" spans="1:18">
      <c r="A36">
        <v>35</v>
      </c>
      <c r="B36" s="14">
        <v>45810</v>
      </c>
      <c r="C36" t="s">
        <v>77</v>
      </c>
      <c r="D36" t="s">
        <v>83</v>
      </c>
      <c r="E36" t="s">
        <v>97</v>
      </c>
      <c r="F36" t="s">
        <v>36</v>
      </c>
      <c r="H36" t="s">
        <v>37</v>
      </c>
      <c r="I36" t="s">
        <v>47</v>
      </c>
      <c r="J36" t="s">
        <v>39</v>
      </c>
      <c r="K36">
        <v>32</v>
      </c>
      <c r="L36">
        <v>25.85</v>
      </c>
      <c r="M36">
        <v>15</v>
      </c>
      <c r="O36" t="s">
        <v>59</v>
      </c>
      <c r="P36" t="s">
        <v>71</v>
      </c>
      <c r="Q36" t="s">
        <v>65</v>
      </c>
      <c r="R36" t="s">
        <v>42</v>
      </c>
    </row>
    <row r="37" spans="1:20">
      <c r="A37">
        <v>36</v>
      </c>
      <c r="B37" s="14">
        <v>45742</v>
      </c>
      <c r="C37" t="s">
        <v>77</v>
      </c>
      <c r="D37" t="s">
        <v>83</v>
      </c>
      <c r="E37" t="s">
        <v>89</v>
      </c>
      <c r="F37" t="s">
        <v>36</v>
      </c>
      <c r="G37" t="s">
        <v>68</v>
      </c>
      <c r="H37" t="s">
        <v>58</v>
      </c>
      <c r="I37" t="s">
        <v>38</v>
      </c>
      <c r="J37" t="s">
        <v>27</v>
      </c>
      <c r="K37">
        <v>6</v>
      </c>
      <c r="L37">
        <v>66.06</v>
      </c>
      <c r="M37">
        <v>5</v>
      </c>
      <c r="O37" t="s">
        <v>59</v>
      </c>
      <c r="P37" t="s">
        <v>64</v>
      </c>
      <c r="Q37" t="s">
        <v>30</v>
      </c>
      <c r="R37" t="s">
        <v>42</v>
      </c>
      <c r="S37">
        <v>4</v>
      </c>
      <c r="T37" t="s">
        <v>49</v>
      </c>
    </row>
    <row r="38" spans="1:19">
      <c r="A38">
        <v>37</v>
      </c>
      <c r="B38" s="14">
        <v>45766</v>
      </c>
      <c r="C38" t="s">
        <v>85</v>
      </c>
      <c r="D38" t="s">
        <v>56</v>
      </c>
      <c r="E38" t="s">
        <v>82</v>
      </c>
      <c r="F38" t="s">
        <v>70</v>
      </c>
      <c r="G38" t="s">
        <v>45</v>
      </c>
      <c r="H38" t="s">
        <v>73</v>
      </c>
      <c r="I38" t="s">
        <v>53</v>
      </c>
      <c r="J38" t="s">
        <v>27</v>
      </c>
      <c r="K38">
        <v>31</v>
      </c>
      <c r="L38">
        <v>6.84</v>
      </c>
      <c r="O38" t="s">
        <v>28</v>
      </c>
      <c r="P38" t="s">
        <v>75</v>
      </c>
      <c r="Q38" t="s">
        <v>76</v>
      </c>
      <c r="S38">
        <v>1</v>
      </c>
    </row>
    <row r="39" spans="1:19">
      <c r="A39">
        <v>38</v>
      </c>
      <c r="B39" s="14">
        <v>45673</v>
      </c>
      <c r="C39" t="s">
        <v>50</v>
      </c>
      <c r="D39" t="s">
        <v>66</v>
      </c>
      <c r="E39" t="s">
        <v>35</v>
      </c>
      <c r="F39" t="s">
        <v>36</v>
      </c>
      <c r="G39" t="s">
        <v>24</v>
      </c>
      <c r="H39" t="s">
        <v>25</v>
      </c>
      <c r="I39" t="s">
        <v>26</v>
      </c>
      <c r="J39" t="s">
        <v>63</v>
      </c>
      <c r="K39">
        <v>43</v>
      </c>
      <c r="L39">
        <v>15.87</v>
      </c>
      <c r="M39">
        <v>5</v>
      </c>
      <c r="O39" t="s">
        <v>59</v>
      </c>
      <c r="P39" t="s">
        <v>75</v>
      </c>
      <c r="Q39" t="s">
        <v>41</v>
      </c>
      <c r="R39" t="s">
        <v>31</v>
      </c>
      <c r="S39">
        <v>5</v>
      </c>
    </row>
    <row r="40" spans="1:19">
      <c r="A40">
        <v>39</v>
      </c>
      <c r="B40" s="14">
        <v>45741</v>
      </c>
      <c r="C40" t="s">
        <v>60</v>
      </c>
      <c r="D40" t="s">
        <v>21</v>
      </c>
      <c r="E40" t="s">
        <v>98</v>
      </c>
      <c r="F40" t="s">
        <v>44</v>
      </c>
      <c r="G40" t="s">
        <v>45</v>
      </c>
      <c r="H40" t="s">
        <v>37</v>
      </c>
      <c r="I40" t="s">
        <v>38</v>
      </c>
      <c r="J40" t="s">
        <v>63</v>
      </c>
      <c r="K40">
        <v>46</v>
      </c>
      <c r="L40">
        <v>23.84</v>
      </c>
      <c r="O40" t="s">
        <v>40</v>
      </c>
      <c r="P40" t="s">
        <v>71</v>
      </c>
      <c r="Q40" t="s">
        <v>41</v>
      </c>
      <c r="S40">
        <v>5</v>
      </c>
    </row>
    <row r="41" spans="1:20">
      <c r="A41">
        <v>40</v>
      </c>
      <c r="B41" s="14">
        <v>45947</v>
      </c>
      <c r="C41" t="s">
        <v>77</v>
      </c>
      <c r="D41" t="s">
        <v>21</v>
      </c>
      <c r="E41" t="s">
        <v>84</v>
      </c>
      <c r="F41" t="s">
        <v>36</v>
      </c>
      <c r="G41" t="s">
        <v>81</v>
      </c>
      <c r="H41" t="s">
        <v>46</v>
      </c>
      <c r="I41" t="s">
        <v>74</v>
      </c>
      <c r="J41" t="s">
        <v>48</v>
      </c>
      <c r="K41">
        <v>1</v>
      </c>
      <c r="L41">
        <v>85.71</v>
      </c>
      <c r="M41">
        <v>15</v>
      </c>
      <c r="O41" t="s">
        <v>28</v>
      </c>
      <c r="P41" t="s">
        <v>29</v>
      </c>
      <c r="Q41" t="s">
        <v>41</v>
      </c>
      <c r="S41">
        <v>4</v>
      </c>
      <c r="T41" t="s">
        <v>32</v>
      </c>
    </row>
    <row r="42" spans="1:19">
      <c r="A42">
        <v>41</v>
      </c>
      <c r="B42" s="14">
        <v>45880</v>
      </c>
      <c r="C42" t="s">
        <v>50</v>
      </c>
      <c r="D42" t="s">
        <v>51</v>
      </c>
      <c r="E42" t="s">
        <v>99</v>
      </c>
      <c r="G42" t="s">
        <v>45</v>
      </c>
      <c r="H42" t="s">
        <v>37</v>
      </c>
      <c r="I42" t="s">
        <v>47</v>
      </c>
      <c r="J42" t="s">
        <v>63</v>
      </c>
      <c r="K42">
        <v>30</v>
      </c>
      <c r="L42">
        <v>46.38</v>
      </c>
      <c r="O42" t="s">
        <v>54</v>
      </c>
      <c r="P42" t="s">
        <v>75</v>
      </c>
      <c r="Q42" t="s">
        <v>76</v>
      </c>
      <c r="R42" t="s">
        <v>31</v>
      </c>
      <c r="S42">
        <v>3</v>
      </c>
    </row>
    <row r="43" spans="1:20">
      <c r="A43">
        <v>42</v>
      </c>
      <c r="B43" s="14">
        <v>45782</v>
      </c>
      <c r="C43" t="s">
        <v>77</v>
      </c>
      <c r="D43" t="s">
        <v>83</v>
      </c>
      <c r="E43" t="s">
        <v>100</v>
      </c>
      <c r="F43" t="s">
        <v>36</v>
      </c>
      <c r="H43" t="s">
        <v>73</v>
      </c>
      <c r="I43" t="s">
        <v>53</v>
      </c>
      <c r="J43" t="s">
        <v>27</v>
      </c>
      <c r="K43">
        <v>32</v>
      </c>
      <c r="L43">
        <v>85.84</v>
      </c>
      <c r="M43">
        <v>5</v>
      </c>
      <c r="O43" t="s">
        <v>59</v>
      </c>
      <c r="P43" t="s">
        <v>64</v>
      </c>
      <c r="Q43" t="s">
        <v>41</v>
      </c>
      <c r="R43" t="s">
        <v>42</v>
      </c>
      <c r="S43">
        <v>3</v>
      </c>
      <c r="T43" t="s">
        <v>49</v>
      </c>
    </row>
    <row r="44" spans="1:19">
      <c r="A44">
        <v>43</v>
      </c>
      <c r="B44" s="14">
        <v>45963</v>
      </c>
      <c r="C44" t="s">
        <v>55</v>
      </c>
      <c r="D44" t="s">
        <v>56</v>
      </c>
      <c r="E44" t="s">
        <v>96</v>
      </c>
      <c r="F44" t="s">
        <v>44</v>
      </c>
      <c r="G44" t="s">
        <v>68</v>
      </c>
      <c r="H44" t="s">
        <v>25</v>
      </c>
      <c r="I44" t="s">
        <v>74</v>
      </c>
      <c r="J44" t="s">
        <v>39</v>
      </c>
      <c r="K44">
        <v>47</v>
      </c>
      <c r="L44">
        <v>43.61</v>
      </c>
      <c r="O44" t="s">
        <v>40</v>
      </c>
      <c r="P44" t="s">
        <v>29</v>
      </c>
      <c r="Q44" t="s">
        <v>65</v>
      </c>
      <c r="R44" t="s">
        <v>42</v>
      </c>
      <c r="S44">
        <v>1</v>
      </c>
    </row>
    <row r="45" spans="1:20">
      <c r="A45">
        <v>44</v>
      </c>
      <c r="B45" s="14">
        <v>45808</v>
      </c>
      <c r="C45" t="s">
        <v>50</v>
      </c>
      <c r="D45" t="s">
        <v>83</v>
      </c>
      <c r="E45" t="s">
        <v>57</v>
      </c>
      <c r="F45" t="s">
        <v>91</v>
      </c>
      <c r="G45" t="s">
        <v>45</v>
      </c>
      <c r="H45" t="s">
        <v>37</v>
      </c>
      <c r="I45" t="s">
        <v>53</v>
      </c>
      <c r="J45" t="s">
        <v>63</v>
      </c>
      <c r="K45">
        <v>36</v>
      </c>
      <c r="L45">
        <v>55.44</v>
      </c>
      <c r="M45">
        <v>15</v>
      </c>
      <c r="O45" t="s">
        <v>54</v>
      </c>
      <c r="P45" t="s">
        <v>75</v>
      </c>
      <c r="Q45" t="s">
        <v>65</v>
      </c>
      <c r="R45" t="s">
        <v>42</v>
      </c>
      <c r="S45">
        <v>3</v>
      </c>
      <c r="T45" t="s">
        <v>49</v>
      </c>
    </row>
    <row r="46" spans="1:20">
      <c r="A46">
        <v>45</v>
      </c>
      <c r="B46" s="14">
        <v>45776</v>
      </c>
      <c r="C46" t="s">
        <v>20</v>
      </c>
      <c r="D46" t="s">
        <v>51</v>
      </c>
      <c r="E46" t="s">
        <v>101</v>
      </c>
      <c r="F46" t="s">
        <v>23</v>
      </c>
      <c r="G46" t="s">
        <v>88</v>
      </c>
      <c r="H46" t="s">
        <v>37</v>
      </c>
      <c r="I46" t="s">
        <v>26</v>
      </c>
      <c r="J46" t="s">
        <v>39</v>
      </c>
      <c r="K46">
        <v>14</v>
      </c>
      <c r="L46">
        <v>75.17</v>
      </c>
      <c r="M46">
        <v>10</v>
      </c>
      <c r="O46" t="s">
        <v>54</v>
      </c>
      <c r="P46" t="s">
        <v>71</v>
      </c>
      <c r="Q46" t="s">
        <v>76</v>
      </c>
      <c r="R46" t="s">
        <v>42</v>
      </c>
      <c r="S46">
        <v>2</v>
      </c>
      <c r="T46" t="s">
        <v>49</v>
      </c>
    </row>
    <row r="47" spans="1:19">
      <c r="A47">
        <v>46</v>
      </c>
      <c r="B47" s="14">
        <v>45749</v>
      </c>
      <c r="C47" t="s">
        <v>60</v>
      </c>
      <c r="D47" t="s">
        <v>21</v>
      </c>
      <c r="E47" t="s">
        <v>102</v>
      </c>
      <c r="F47" t="s">
        <v>36</v>
      </c>
      <c r="G47" t="s">
        <v>24</v>
      </c>
      <c r="H47" t="s">
        <v>46</v>
      </c>
      <c r="I47" t="s">
        <v>74</v>
      </c>
      <c r="J47" t="s">
        <v>27</v>
      </c>
      <c r="K47">
        <v>36</v>
      </c>
      <c r="L47">
        <v>32.75</v>
      </c>
      <c r="M47">
        <v>5</v>
      </c>
      <c r="O47" t="s">
        <v>59</v>
      </c>
      <c r="P47" t="s">
        <v>71</v>
      </c>
      <c r="Q47" t="s">
        <v>30</v>
      </c>
      <c r="S47">
        <v>3</v>
      </c>
    </row>
    <row r="48" spans="1:19">
      <c r="A48">
        <v>47</v>
      </c>
      <c r="B48" s="14">
        <v>45903</v>
      </c>
      <c r="C48" t="s">
        <v>85</v>
      </c>
      <c r="D48" t="s">
        <v>56</v>
      </c>
      <c r="E48" t="s">
        <v>92</v>
      </c>
      <c r="F48" t="s">
        <v>44</v>
      </c>
      <c r="G48" t="s">
        <v>45</v>
      </c>
      <c r="H48" t="s">
        <v>73</v>
      </c>
      <c r="I48" t="s">
        <v>74</v>
      </c>
      <c r="J48" t="s">
        <v>27</v>
      </c>
      <c r="K48">
        <v>26</v>
      </c>
      <c r="L48">
        <v>51.72</v>
      </c>
      <c r="O48" t="s">
        <v>28</v>
      </c>
      <c r="P48" t="s">
        <v>64</v>
      </c>
      <c r="Q48" t="s">
        <v>76</v>
      </c>
      <c r="S48">
        <v>3</v>
      </c>
    </row>
    <row r="49" spans="1:19">
      <c r="A49">
        <v>48</v>
      </c>
      <c r="B49" s="14">
        <v>45785</v>
      </c>
      <c r="C49" t="s">
        <v>20</v>
      </c>
      <c r="D49" t="s">
        <v>34</v>
      </c>
      <c r="E49" t="s">
        <v>79</v>
      </c>
      <c r="F49" t="s">
        <v>70</v>
      </c>
      <c r="G49" t="s">
        <v>68</v>
      </c>
      <c r="H49" t="s">
        <v>37</v>
      </c>
      <c r="I49" t="s">
        <v>47</v>
      </c>
      <c r="J49" t="s">
        <v>39</v>
      </c>
      <c r="K49">
        <v>50</v>
      </c>
      <c r="L49">
        <v>54.64</v>
      </c>
      <c r="M49">
        <v>15</v>
      </c>
      <c r="O49" t="s">
        <v>59</v>
      </c>
      <c r="P49" t="s">
        <v>75</v>
      </c>
      <c r="Q49" t="s">
        <v>65</v>
      </c>
      <c r="R49" t="s">
        <v>42</v>
      </c>
      <c r="S49">
        <v>5</v>
      </c>
    </row>
    <row r="50" spans="1:19">
      <c r="A50">
        <v>49</v>
      </c>
      <c r="B50" s="14">
        <v>45970</v>
      </c>
      <c r="C50" t="s">
        <v>55</v>
      </c>
      <c r="D50" t="s">
        <v>21</v>
      </c>
      <c r="E50" t="s">
        <v>79</v>
      </c>
      <c r="F50" t="s">
        <v>91</v>
      </c>
      <c r="H50" t="s">
        <v>25</v>
      </c>
      <c r="I50" t="s">
        <v>53</v>
      </c>
      <c r="J50" t="s">
        <v>27</v>
      </c>
      <c r="K50">
        <v>11</v>
      </c>
      <c r="L50">
        <v>27.79</v>
      </c>
      <c r="O50" t="s">
        <v>28</v>
      </c>
      <c r="P50" t="s">
        <v>64</v>
      </c>
      <c r="Q50" t="s">
        <v>30</v>
      </c>
      <c r="R50" t="s">
        <v>42</v>
      </c>
      <c r="S50">
        <v>4</v>
      </c>
    </row>
    <row r="51" spans="1:20">
      <c r="A51">
        <v>50</v>
      </c>
      <c r="B51" s="14">
        <v>45807</v>
      </c>
      <c r="C51" t="s">
        <v>20</v>
      </c>
      <c r="D51" t="s">
        <v>66</v>
      </c>
      <c r="E51" t="s">
        <v>72</v>
      </c>
      <c r="G51" t="s">
        <v>45</v>
      </c>
      <c r="H51" t="s">
        <v>73</v>
      </c>
      <c r="I51" t="s">
        <v>74</v>
      </c>
      <c r="J51" t="s">
        <v>39</v>
      </c>
      <c r="K51">
        <v>17</v>
      </c>
      <c r="L51">
        <v>79.84</v>
      </c>
      <c r="O51" t="s">
        <v>40</v>
      </c>
      <c r="P51" t="s">
        <v>29</v>
      </c>
      <c r="Q51" t="s">
        <v>30</v>
      </c>
      <c r="S51">
        <v>2</v>
      </c>
      <c r="T51" t="s">
        <v>32</v>
      </c>
    </row>
    <row r="52" spans="1:19">
      <c r="A52">
        <v>51</v>
      </c>
      <c r="B52" s="14">
        <v>45794</v>
      </c>
      <c r="C52" t="s">
        <v>77</v>
      </c>
      <c r="D52" t="s">
        <v>66</v>
      </c>
      <c r="E52" t="s">
        <v>52</v>
      </c>
      <c r="F52" t="s">
        <v>44</v>
      </c>
      <c r="G52" t="s">
        <v>24</v>
      </c>
      <c r="H52" t="s">
        <v>46</v>
      </c>
      <c r="I52" t="s">
        <v>47</v>
      </c>
      <c r="J52" t="s">
        <v>48</v>
      </c>
      <c r="K52">
        <v>29</v>
      </c>
      <c r="L52">
        <v>16.81</v>
      </c>
      <c r="M52">
        <v>10</v>
      </c>
      <c r="O52" t="s">
        <v>59</v>
      </c>
      <c r="P52" t="s">
        <v>75</v>
      </c>
      <c r="Q52" t="s">
        <v>65</v>
      </c>
      <c r="R52" t="s">
        <v>42</v>
      </c>
      <c r="S52">
        <v>1</v>
      </c>
    </row>
    <row r="53" spans="1:17">
      <c r="A53">
        <v>52</v>
      </c>
      <c r="B53" s="14">
        <v>45879</v>
      </c>
      <c r="C53" t="s">
        <v>55</v>
      </c>
      <c r="D53" t="s">
        <v>56</v>
      </c>
      <c r="E53" t="s">
        <v>95</v>
      </c>
      <c r="F53" t="s">
        <v>23</v>
      </c>
      <c r="G53" t="s">
        <v>88</v>
      </c>
      <c r="H53" t="s">
        <v>58</v>
      </c>
      <c r="I53" t="s">
        <v>26</v>
      </c>
      <c r="J53" t="s">
        <v>27</v>
      </c>
      <c r="K53">
        <v>49</v>
      </c>
      <c r="L53">
        <v>68.87</v>
      </c>
      <c r="M53">
        <v>10</v>
      </c>
      <c r="O53" t="s">
        <v>28</v>
      </c>
      <c r="P53" t="s">
        <v>64</v>
      </c>
      <c r="Q53" t="s">
        <v>65</v>
      </c>
    </row>
    <row r="54" spans="1:20">
      <c r="A54">
        <v>53</v>
      </c>
      <c r="B54" s="14">
        <v>45800</v>
      </c>
      <c r="C54" t="s">
        <v>50</v>
      </c>
      <c r="D54" t="s">
        <v>34</v>
      </c>
      <c r="E54" t="s">
        <v>103</v>
      </c>
      <c r="G54" t="s">
        <v>81</v>
      </c>
      <c r="H54" t="s">
        <v>58</v>
      </c>
      <c r="I54" t="s">
        <v>38</v>
      </c>
      <c r="J54" t="s">
        <v>48</v>
      </c>
      <c r="K54">
        <v>27</v>
      </c>
      <c r="L54">
        <v>36.66</v>
      </c>
      <c r="M54">
        <v>0</v>
      </c>
      <c r="O54" t="s">
        <v>40</v>
      </c>
      <c r="P54" t="s">
        <v>75</v>
      </c>
      <c r="Q54" t="s">
        <v>65</v>
      </c>
      <c r="S54">
        <v>4</v>
      </c>
      <c r="T54" t="s">
        <v>49</v>
      </c>
    </row>
    <row r="55" spans="1:20">
      <c r="A55">
        <v>54</v>
      </c>
      <c r="B55" s="14">
        <v>45997</v>
      </c>
      <c r="C55" t="s">
        <v>85</v>
      </c>
      <c r="D55" t="s">
        <v>61</v>
      </c>
      <c r="E55" t="s">
        <v>79</v>
      </c>
      <c r="F55" t="s">
        <v>36</v>
      </c>
      <c r="G55" t="s">
        <v>88</v>
      </c>
      <c r="H55" t="s">
        <v>73</v>
      </c>
      <c r="I55" t="s">
        <v>74</v>
      </c>
      <c r="J55" t="s">
        <v>48</v>
      </c>
      <c r="K55">
        <v>17</v>
      </c>
      <c r="L55">
        <v>35.71</v>
      </c>
      <c r="M55">
        <v>15</v>
      </c>
      <c r="O55" t="s">
        <v>28</v>
      </c>
      <c r="P55" t="s">
        <v>29</v>
      </c>
      <c r="Q55" t="s">
        <v>65</v>
      </c>
      <c r="R55" t="s">
        <v>31</v>
      </c>
      <c r="S55">
        <v>2</v>
      </c>
      <c r="T55" t="s">
        <v>49</v>
      </c>
    </row>
    <row r="56" spans="1:20">
      <c r="A56">
        <v>55</v>
      </c>
      <c r="B56" s="14">
        <v>45976</v>
      </c>
      <c r="C56" t="s">
        <v>77</v>
      </c>
      <c r="D56" t="s">
        <v>83</v>
      </c>
      <c r="E56" t="s">
        <v>104</v>
      </c>
      <c r="F56" t="s">
        <v>70</v>
      </c>
      <c r="G56" t="s">
        <v>88</v>
      </c>
      <c r="H56" t="s">
        <v>25</v>
      </c>
      <c r="I56" t="s">
        <v>53</v>
      </c>
      <c r="J56" t="s">
        <v>39</v>
      </c>
      <c r="K56">
        <v>19</v>
      </c>
      <c r="L56">
        <v>46.62</v>
      </c>
      <c r="M56">
        <v>15</v>
      </c>
      <c r="O56" t="s">
        <v>28</v>
      </c>
      <c r="P56" t="s">
        <v>71</v>
      </c>
      <c r="Q56" t="s">
        <v>76</v>
      </c>
      <c r="S56">
        <v>2</v>
      </c>
      <c r="T56" t="s">
        <v>49</v>
      </c>
    </row>
    <row r="57" spans="1:20">
      <c r="A57">
        <v>56</v>
      </c>
      <c r="B57" s="14">
        <v>45940</v>
      </c>
      <c r="C57" t="s">
        <v>20</v>
      </c>
      <c r="D57" t="s">
        <v>34</v>
      </c>
      <c r="E57" t="s">
        <v>97</v>
      </c>
      <c r="F57" t="s">
        <v>44</v>
      </c>
      <c r="G57" t="s">
        <v>24</v>
      </c>
      <c r="H57" t="s">
        <v>58</v>
      </c>
      <c r="I57" t="s">
        <v>38</v>
      </c>
      <c r="J57" t="s">
        <v>27</v>
      </c>
      <c r="K57">
        <v>42</v>
      </c>
      <c r="L57">
        <v>84.05</v>
      </c>
      <c r="M57">
        <v>15</v>
      </c>
      <c r="O57" t="s">
        <v>54</v>
      </c>
      <c r="P57" t="s">
        <v>75</v>
      </c>
      <c r="Q57" t="s">
        <v>65</v>
      </c>
      <c r="R57" t="s">
        <v>42</v>
      </c>
      <c r="S57">
        <v>4</v>
      </c>
      <c r="T57" t="s">
        <v>32</v>
      </c>
    </row>
    <row r="58" spans="1:20">
      <c r="A58">
        <v>57</v>
      </c>
      <c r="B58" s="14">
        <v>45891</v>
      </c>
      <c r="C58" t="s">
        <v>33</v>
      </c>
      <c r="D58" t="s">
        <v>66</v>
      </c>
      <c r="E58" t="s">
        <v>43</v>
      </c>
      <c r="F58" t="s">
        <v>91</v>
      </c>
      <c r="G58" t="s">
        <v>68</v>
      </c>
      <c r="H58" t="s">
        <v>37</v>
      </c>
      <c r="I58" t="s">
        <v>26</v>
      </c>
      <c r="J58" t="s">
        <v>27</v>
      </c>
      <c r="K58">
        <v>18</v>
      </c>
      <c r="L58">
        <v>78.4</v>
      </c>
      <c r="M58">
        <v>15</v>
      </c>
      <c r="O58" t="s">
        <v>54</v>
      </c>
      <c r="P58" t="s">
        <v>75</v>
      </c>
      <c r="Q58" t="s">
        <v>30</v>
      </c>
      <c r="R58" t="s">
        <v>42</v>
      </c>
      <c r="T58" t="s">
        <v>49</v>
      </c>
    </row>
    <row r="59" spans="1:20">
      <c r="A59">
        <v>58</v>
      </c>
      <c r="B59" s="14">
        <v>45958</v>
      </c>
      <c r="C59" t="s">
        <v>33</v>
      </c>
      <c r="D59" t="s">
        <v>51</v>
      </c>
      <c r="E59" t="s">
        <v>105</v>
      </c>
      <c r="F59" t="s">
        <v>91</v>
      </c>
      <c r="G59" t="s">
        <v>81</v>
      </c>
      <c r="H59" t="s">
        <v>37</v>
      </c>
      <c r="I59" t="s">
        <v>38</v>
      </c>
      <c r="J59" t="s">
        <v>48</v>
      </c>
      <c r="K59">
        <v>22</v>
      </c>
      <c r="L59">
        <v>57.43</v>
      </c>
      <c r="O59" t="s">
        <v>59</v>
      </c>
      <c r="P59" t="s">
        <v>29</v>
      </c>
      <c r="Q59" t="s">
        <v>41</v>
      </c>
      <c r="R59" t="s">
        <v>31</v>
      </c>
      <c r="T59" t="s">
        <v>32</v>
      </c>
    </row>
    <row r="60" spans="1:20">
      <c r="A60">
        <v>59</v>
      </c>
      <c r="B60" s="14">
        <v>45950</v>
      </c>
      <c r="C60" t="s">
        <v>85</v>
      </c>
      <c r="D60" t="s">
        <v>66</v>
      </c>
      <c r="E60" t="s">
        <v>62</v>
      </c>
      <c r="F60" t="s">
        <v>70</v>
      </c>
      <c r="G60" t="s">
        <v>88</v>
      </c>
      <c r="H60" t="s">
        <v>46</v>
      </c>
      <c r="I60" t="s">
        <v>38</v>
      </c>
      <c r="J60" t="s">
        <v>63</v>
      </c>
      <c r="K60">
        <v>25</v>
      </c>
      <c r="L60">
        <v>98.9</v>
      </c>
      <c r="M60">
        <v>5</v>
      </c>
      <c r="O60" t="s">
        <v>59</v>
      </c>
      <c r="P60" t="s">
        <v>71</v>
      </c>
      <c r="Q60" t="s">
        <v>76</v>
      </c>
      <c r="S60">
        <v>5</v>
      </c>
      <c r="T60" t="s">
        <v>49</v>
      </c>
    </row>
    <row r="61" spans="1:19">
      <c r="A61">
        <v>60</v>
      </c>
      <c r="B61" s="14">
        <v>45709</v>
      </c>
      <c r="C61" t="s">
        <v>77</v>
      </c>
      <c r="D61" t="s">
        <v>61</v>
      </c>
      <c r="E61" t="s">
        <v>80</v>
      </c>
      <c r="F61" t="s">
        <v>44</v>
      </c>
      <c r="G61" t="s">
        <v>68</v>
      </c>
      <c r="H61" t="s">
        <v>73</v>
      </c>
      <c r="I61" t="s">
        <v>74</v>
      </c>
      <c r="J61" t="s">
        <v>39</v>
      </c>
      <c r="K61">
        <v>27</v>
      </c>
      <c r="L61">
        <v>87.74</v>
      </c>
      <c r="M61">
        <v>5</v>
      </c>
      <c r="O61" t="s">
        <v>28</v>
      </c>
      <c r="P61" t="s">
        <v>29</v>
      </c>
      <c r="Q61" t="s">
        <v>41</v>
      </c>
      <c r="R61" t="s">
        <v>42</v>
      </c>
      <c r="S61">
        <v>5</v>
      </c>
    </row>
    <row r="62" spans="1:19">
      <c r="A62">
        <v>61</v>
      </c>
      <c r="B62" s="14">
        <v>45990</v>
      </c>
      <c r="C62" t="s">
        <v>20</v>
      </c>
      <c r="D62" t="s">
        <v>61</v>
      </c>
      <c r="E62" t="s">
        <v>82</v>
      </c>
      <c r="G62" t="s">
        <v>68</v>
      </c>
      <c r="H62" t="s">
        <v>73</v>
      </c>
      <c r="I62" t="s">
        <v>53</v>
      </c>
      <c r="J62" t="s">
        <v>63</v>
      </c>
      <c r="K62">
        <v>35</v>
      </c>
      <c r="L62">
        <v>8.41</v>
      </c>
      <c r="M62">
        <v>0</v>
      </c>
      <c r="O62" t="s">
        <v>40</v>
      </c>
      <c r="P62" t="s">
        <v>75</v>
      </c>
      <c r="Q62" t="s">
        <v>76</v>
      </c>
      <c r="S62">
        <v>1</v>
      </c>
    </row>
    <row r="63" spans="1:20">
      <c r="A63">
        <v>62</v>
      </c>
      <c r="B63" s="14">
        <v>45708</v>
      </c>
      <c r="C63" t="s">
        <v>77</v>
      </c>
      <c r="D63" t="s">
        <v>51</v>
      </c>
      <c r="E63" t="s">
        <v>102</v>
      </c>
      <c r="F63" t="s">
        <v>44</v>
      </c>
      <c r="G63" t="s">
        <v>81</v>
      </c>
      <c r="H63" t="s">
        <v>25</v>
      </c>
      <c r="I63" t="s">
        <v>53</v>
      </c>
      <c r="J63" t="s">
        <v>27</v>
      </c>
      <c r="K63">
        <v>3</v>
      </c>
      <c r="L63">
        <v>35.82</v>
      </c>
      <c r="M63">
        <v>0</v>
      </c>
      <c r="O63" t="s">
        <v>54</v>
      </c>
      <c r="P63" t="s">
        <v>75</v>
      </c>
      <c r="Q63" t="s">
        <v>41</v>
      </c>
      <c r="R63" t="s">
        <v>42</v>
      </c>
      <c r="S63">
        <v>2</v>
      </c>
      <c r="T63" t="s">
        <v>32</v>
      </c>
    </row>
    <row r="64" spans="1:19">
      <c r="A64">
        <v>63</v>
      </c>
      <c r="B64" s="14">
        <v>45929</v>
      </c>
      <c r="C64" t="s">
        <v>85</v>
      </c>
      <c r="D64" t="s">
        <v>34</v>
      </c>
      <c r="E64" t="s">
        <v>69</v>
      </c>
      <c r="F64" t="s">
        <v>91</v>
      </c>
      <c r="G64" t="s">
        <v>24</v>
      </c>
      <c r="H64" t="s">
        <v>25</v>
      </c>
      <c r="I64" t="s">
        <v>74</v>
      </c>
      <c r="J64" t="s">
        <v>63</v>
      </c>
      <c r="K64">
        <v>40</v>
      </c>
      <c r="L64">
        <v>69.9</v>
      </c>
      <c r="M64">
        <v>15</v>
      </c>
      <c r="O64" t="s">
        <v>40</v>
      </c>
      <c r="P64" t="s">
        <v>64</v>
      </c>
      <c r="Q64" t="s">
        <v>65</v>
      </c>
      <c r="S64">
        <v>3</v>
      </c>
    </row>
    <row r="65" spans="1:20">
      <c r="A65">
        <v>64</v>
      </c>
      <c r="B65" s="14">
        <v>45788</v>
      </c>
      <c r="C65" t="s">
        <v>55</v>
      </c>
      <c r="D65" t="s">
        <v>21</v>
      </c>
      <c r="E65" t="s">
        <v>93</v>
      </c>
      <c r="F65" t="s">
        <v>23</v>
      </c>
      <c r="H65" t="s">
        <v>37</v>
      </c>
      <c r="I65" t="s">
        <v>26</v>
      </c>
      <c r="J65" t="s">
        <v>27</v>
      </c>
      <c r="K65">
        <v>29</v>
      </c>
      <c r="L65">
        <v>94.8</v>
      </c>
      <c r="O65" t="s">
        <v>54</v>
      </c>
      <c r="P65" t="s">
        <v>29</v>
      </c>
      <c r="Q65" t="s">
        <v>41</v>
      </c>
      <c r="R65" t="s">
        <v>42</v>
      </c>
      <c r="S65">
        <v>3</v>
      </c>
      <c r="T65" t="s">
        <v>32</v>
      </c>
    </row>
    <row r="66" spans="1:17">
      <c r="A66">
        <v>65</v>
      </c>
      <c r="B66" s="14">
        <v>45854</v>
      </c>
      <c r="C66" t="s">
        <v>77</v>
      </c>
      <c r="D66" t="s">
        <v>83</v>
      </c>
      <c r="E66" t="s">
        <v>106</v>
      </c>
      <c r="F66" t="s">
        <v>91</v>
      </c>
      <c r="G66" t="s">
        <v>81</v>
      </c>
      <c r="H66" t="s">
        <v>37</v>
      </c>
      <c r="I66" t="s">
        <v>53</v>
      </c>
      <c r="J66" t="s">
        <v>48</v>
      </c>
      <c r="K66">
        <v>45</v>
      </c>
      <c r="L66">
        <v>33.05</v>
      </c>
      <c r="M66">
        <v>15</v>
      </c>
      <c r="O66" t="s">
        <v>54</v>
      </c>
      <c r="P66" t="s">
        <v>71</v>
      </c>
      <c r="Q66" t="s">
        <v>30</v>
      </c>
    </row>
    <row r="67" spans="1:20">
      <c r="A67">
        <v>66</v>
      </c>
      <c r="B67" s="14">
        <v>45804</v>
      </c>
      <c r="C67" t="s">
        <v>77</v>
      </c>
      <c r="D67" t="s">
        <v>61</v>
      </c>
      <c r="E67" t="s">
        <v>107</v>
      </c>
      <c r="F67" t="s">
        <v>36</v>
      </c>
      <c r="G67" t="s">
        <v>45</v>
      </c>
      <c r="H67" t="s">
        <v>25</v>
      </c>
      <c r="I67" t="s">
        <v>26</v>
      </c>
      <c r="J67" t="s">
        <v>48</v>
      </c>
      <c r="K67">
        <v>44</v>
      </c>
      <c r="L67">
        <v>76.78</v>
      </c>
      <c r="M67">
        <v>5</v>
      </c>
      <c r="O67" t="s">
        <v>28</v>
      </c>
      <c r="P67" t="s">
        <v>71</v>
      </c>
      <c r="Q67" t="s">
        <v>41</v>
      </c>
      <c r="R67" t="s">
        <v>42</v>
      </c>
      <c r="S67">
        <v>1</v>
      </c>
      <c r="T67" t="s">
        <v>49</v>
      </c>
    </row>
    <row r="68" spans="1:20">
      <c r="A68">
        <v>67</v>
      </c>
      <c r="B68" s="14">
        <v>45725</v>
      </c>
      <c r="C68" t="s">
        <v>20</v>
      </c>
      <c r="D68" t="s">
        <v>56</v>
      </c>
      <c r="E68" t="s">
        <v>108</v>
      </c>
      <c r="G68" t="s">
        <v>81</v>
      </c>
      <c r="H68" t="s">
        <v>25</v>
      </c>
      <c r="I68" t="s">
        <v>26</v>
      </c>
      <c r="J68" t="s">
        <v>39</v>
      </c>
      <c r="K68">
        <v>35</v>
      </c>
      <c r="L68">
        <v>88.26</v>
      </c>
      <c r="M68">
        <v>10</v>
      </c>
      <c r="O68" t="s">
        <v>54</v>
      </c>
      <c r="P68" t="s">
        <v>64</v>
      </c>
      <c r="Q68" t="s">
        <v>41</v>
      </c>
      <c r="R68" t="s">
        <v>42</v>
      </c>
      <c r="S68">
        <v>3</v>
      </c>
      <c r="T68" t="s">
        <v>49</v>
      </c>
    </row>
    <row r="69" spans="1:20">
      <c r="A69">
        <v>68</v>
      </c>
      <c r="B69" s="14">
        <v>45716</v>
      </c>
      <c r="C69" t="s">
        <v>85</v>
      </c>
      <c r="D69" t="s">
        <v>21</v>
      </c>
      <c r="E69" t="s">
        <v>90</v>
      </c>
      <c r="F69" t="s">
        <v>91</v>
      </c>
      <c r="H69" t="s">
        <v>73</v>
      </c>
      <c r="I69" t="s">
        <v>47</v>
      </c>
      <c r="J69" t="s">
        <v>48</v>
      </c>
      <c r="K69">
        <v>6</v>
      </c>
      <c r="L69">
        <v>80.11</v>
      </c>
      <c r="M69">
        <v>0</v>
      </c>
      <c r="O69" t="s">
        <v>54</v>
      </c>
      <c r="P69" t="s">
        <v>71</v>
      </c>
      <c r="Q69" t="s">
        <v>65</v>
      </c>
      <c r="R69" t="s">
        <v>42</v>
      </c>
      <c r="T69" t="s">
        <v>49</v>
      </c>
    </row>
    <row r="70" spans="1:20">
      <c r="A70">
        <v>69</v>
      </c>
      <c r="B70" s="14">
        <v>45957</v>
      </c>
      <c r="C70" t="s">
        <v>85</v>
      </c>
      <c r="D70" t="s">
        <v>61</v>
      </c>
      <c r="E70" t="s">
        <v>104</v>
      </c>
      <c r="F70" t="s">
        <v>23</v>
      </c>
      <c r="G70" t="s">
        <v>88</v>
      </c>
      <c r="H70" t="s">
        <v>25</v>
      </c>
      <c r="I70" t="s">
        <v>38</v>
      </c>
      <c r="J70" t="s">
        <v>27</v>
      </c>
      <c r="K70">
        <v>40</v>
      </c>
      <c r="L70">
        <v>89</v>
      </c>
      <c r="O70" t="s">
        <v>54</v>
      </c>
      <c r="P70" t="s">
        <v>64</v>
      </c>
      <c r="Q70" t="s">
        <v>30</v>
      </c>
      <c r="S70">
        <v>4</v>
      </c>
      <c r="T70" t="s">
        <v>49</v>
      </c>
    </row>
    <row r="71" spans="1:18">
      <c r="A71">
        <v>70</v>
      </c>
      <c r="B71" s="14">
        <v>45990</v>
      </c>
      <c r="C71" t="s">
        <v>85</v>
      </c>
      <c r="D71" t="s">
        <v>21</v>
      </c>
      <c r="E71" t="s">
        <v>89</v>
      </c>
      <c r="F71" t="s">
        <v>44</v>
      </c>
      <c r="G71" t="s">
        <v>88</v>
      </c>
      <c r="H71" t="s">
        <v>46</v>
      </c>
      <c r="I71" t="s">
        <v>38</v>
      </c>
      <c r="J71" t="s">
        <v>27</v>
      </c>
      <c r="K71">
        <v>7</v>
      </c>
      <c r="L71">
        <v>27.31</v>
      </c>
      <c r="O71" t="s">
        <v>40</v>
      </c>
      <c r="P71" t="s">
        <v>29</v>
      </c>
      <c r="Q71" t="s">
        <v>65</v>
      </c>
      <c r="R71" t="s">
        <v>42</v>
      </c>
    </row>
    <row r="72" spans="1:19">
      <c r="A72">
        <v>71</v>
      </c>
      <c r="B72" s="14">
        <v>45958</v>
      </c>
      <c r="C72" t="s">
        <v>55</v>
      </c>
      <c r="D72" t="s">
        <v>51</v>
      </c>
      <c r="E72" t="s">
        <v>90</v>
      </c>
      <c r="F72" t="s">
        <v>70</v>
      </c>
      <c r="H72" t="s">
        <v>58</v>
      </c>
      <c r="I72" t="s">
        <v>38</v>
      </c>
      <c r="J72" t="s">
        <v>63</v>
      </c>
      <c r="K72">
        <v>18</v>
      </c>
      <c r="L72">
        <v>8.11</v>
      </c>
      <c r="M72">
        <v>10</v>
      </c>
      <c r="O72" t="s">
        <v>40</v>
      </c>
      <c r="P72" t="s">
        <v>29</v>
      </c>
      <c r="Q72" t="s">
        <v>65</v>
      </c>
      <c r="R72" t="s">
        <v>31</v>
      </c>
      <c r="S72">
        <v>3</v>
      </c>
    </row>
    <row r="73" spans="1:20">
      <c r="A73">
        <v>72</v>
      </c>
      <c r="B73" s="14">
        <v>46009</v>
      </c>
      <c r="C73" t="s">
        <v>60</v>
      </c>
      <c r="D73" t="s">
        <v>34</v>
      </c>
      <c r="E73" t="s">
        <v>109</v>
      </c>
      <c r="F73" t="s">
        <v>23</v>
      </c>
      <c r="G73" t="s">
        <v>88</v>
      </c>
      <c r="H73" t="s">
        <v>73</v>
      </c>
      <c r="I73" t="s">
        <v>53</v>
      </c>
      <c r="J73" t="s">
        <v>39</v>
      </c>
      <c r="K73">
        <v>8</v>
      </c>
      <c r="L73">
        <v>95.16</v>
      </c>
      <c r="M73">
        <v>15</v>
      </c>
      <c r="O73" t="s">
        <v>28</v>
      </c>
      <c r="P73" t="s">
        <v>64</v>
      </c>
      <c r="Q73" t="s">
        <v>30</v>
      </c>
      <c r="R73" t="s">
        <v>31</v>
      </c>
      <c r="S73">
        <v>3</v>
      </c>
      <c r="T73" t="s">
        <v>32</v>
      </c>
    </row>
    <row r="74" spans="1:20">
      <c r="A74">
        <v>73</v>
      </c>
      <c r="B74" s="14">
        <v>45722</v>
      </c>
      <c r="C74" t="s">
        <v>77</v>
      </c>
      <c r="D74" t="s">
        <v>34</v>
      </c>
      <c r="E74" t="s">
        <v>110</v>
      </c>
      <c r="F74" t="s">
        <v>44</v>
      </c>
      <c r="G74" t="s">
        <v>68</v>
      </c>
      <c r="H74" t="s">
        <v>25</v>
      </c>
      <c r="I74" t="s">
        <v>47</v>
      </c>
      <c r="J74" t="s">
        <v>39</v>
      </c>
      <c r="K74">
        <v>15</v>
      </c>
      <c r="L74">
        <v>36.21</v>
      </c>
      <c r="M74">
        <v>5</v>
      </c>
      <c r="O74" t="s">
        <v>28</v>
      </c>
      <c r="P74" t="s">
        <v>75</v>
      </c>
      <c r="Q74" t="s">
        <v>76</v>
      </c>
      <c r="R74" t="s">
        <v>31</v>
      </c>
      <c r="S74">
        <v>5</v>
      </c>
      <c r="T74" t="s">
        <v>49</v>
      </c>
    </row>
    <row r="75" spans="1:19">
      <c r="A75">
        <v>74</v>
      </c>
      <c r="B75" s="14">
        <v>45747</v>
      </c>
      <c r="C75" t="s">
        <v>20</v>
      </c>
      <c r="D75" t="s">
        <v>51</v>
      </c>
      <c r="E75" t="s">
        <v>35</v>
      </c>
      <c r="F75" t="s">
        <v>91</v>
      </c>
      <c r="G75" t="s">
        <v>88</v>
      </c>
      <c r="H75" t="s">
        <v>46</v>
      </c>
      <c r="I75" t="s">
        <v>26</v>
      </c>
      <c r="J75" t="s">
        <v>48</v>
      </c>
      <c r="K75">
        <v>2</v>
      </c>
      <c r="L75">
        <v>21.55</v>
      </c>
      <c r="M75">
        <v>0</v>
      </c>
      <c r="O75" t="s">
        <v>40</v>
      </c>
      <c r="P75" t="s">
        <v>29</v>
      </c>
      <c r="Q75" t="s">
        <v>30</v>
      </c>
      <c r="S75">
        <v>1</v>
      </c>
    </row>
    <row r="76" spans="1:19">
      <c r="A76">
        <v>75</v>
      </c>
      <c r="B76" s="14">
        <v>45887</v>
      </c>
      <c r="C76" t="s">
        <v>77</v>
      </c>
      <c r="D76" t="s">
        <v>56</v>
      </c>
      <c r="E76" t="s">
        <v>111</v>
      </c>
      <c r="F76" t="s">
        <v>36</v>
      </c>
      <c r="G76" t="s">
        <v>88</v>
      </c>
      <c r="H76" t="s">
        <v>73</v>
      </c>
      <c r="I76" t="s">
        <v>47</v>
      </c>
      <c r="J76" t="s">
        <v>39</v>
      </c>
      <c r="K76">
        <v>40</v>
      </c>
      <c r="L76">
        <v>9.12</v>
      </c>
      <c r="O76" t="s">
        <v>54</v>
      </c>
      <c r="P76" t="s">
        <v>29</v>
      </c>
      <c r="Q76" t="s">
        <v>30</v>
      </c>
      <c r="R76" t="s">
        <v>31</v>
      </c>
      <c r="S76">
        <v>4</v>
      </c>
    </row>
    <row r="77" spans="1:20">
      <c r="A77">
        <v>76</v>
      </c>
      <c r="B77" s="14">
        <v>45876</v>
      </c>
      <c r="C77" t="s">
        <v>55</v>
      </c>
      <c r="D77" t="s">
        <v>21</v>
      </c>
      <c r="E77" t="s">
        <v>105</v>
      </c>
      <c r="G77" t="s">
        <v>81</v>
      </c>
      <c r="H77" t="s">
        <v>58</v>
      </c>
      <c r="I77" t="s">
        <v>74</v>
      </c>
      <c r="J77" t="s">
        <v>48</v>
      </c>
      <c r="K77">
        <v>39</v>
      </c>
      <c r="L77">
        <v>19.09</v>
      </c>
      <c r="M77">
        <v>5</v>
      </c>
      <c r="O77" t="s">
        <v>54</v>
      </c>
      <c r="P77" t="s">
        <v>75</v>
      </c>
      <c r="Q77" t="s">
        <v>65</v>
      </c>
      <c r="S77">
        <v>5</v>
      </c>
      <c r="T77" t="s">
        <v>49</v>
      </c>
    </row>
    <row r="78" spans="1:19">
      <c r="A78">
        <v>77</v>
      </c>
      <c r="B78" s="14">
        <v>45890</v>
      </c>
      <c r="C78" t="s">
        <v>33</v>
      </c>
      <c r="D78" t="s">
        <v>34</v>
      </c>
      <c r="E78" t="s">
        <v>103</v>
      </c>
      <c r="F78" t="s">
        <v>44</v>
      </c>
      <c r="H78" t="s">
        <v>58</v>
      </c>
      <c r="I78" t="s">
        <v>47</v>
      </c>
      <c r="J78" t="s">
        <v>39</v>
      </c>
      <c r="K78">
        <v>28</v>
      </c>
      <c r="L78">
        <v>47.9</v>
      </c>
      <c r="M78">
        <v>5</v>
      </c>
      <c r="O78" t="s">
        <v>59</v>
      </c>
      <c r="P78" t="s">
        <v>75</v>
      </c>
      <c r="Q78" t="s">
        <v>65</v>
      </c>
      <c r="R78" t="s">
        <v>42</v>
      </c>
      <c r="S78">
        <v>4</v>
      </c>
    </row>
    <row r="79" spans="1:19">
      <c r="A79">
        <v>78</v>
      </c>
      <c r="B79" s="14">
        <v>45818</v>
      </c>
      <c r="C79" t="s">
        <v>85</v>
      </c>
      <c r="D79" t="s">
        <v>56</v>
      </c>
      <c r="E79" t="s">
        <v>112</v>
      </c>
      <c r="F79" t="s">
        <v>23</v>
      </c>
      <c r="G79" t="s">
        <v>45</v>
      </c>
      <c r="H79" t="s">
        <v>25</v>
      </c>
      <c r="I79" t="s">
        <v>38</v>
      </c>
      <c r="J79" t="s">
        <v>27</v>
      </c>
      <c r="K79">
        <v>6</v>
      </c>
      <c r="L79">
        <v>84.02</v>
      </c>
      <c r="M79">
        <v>0</v>
      </c>
      <c r="O79" t="s">
        <v>59</v>
      </c>
      <c r="P79" t="s">
        <v>71</v>
      </c>
      <c r="Q79" t="s">
        <v>41</v>
      </c>
      <c r="R79" t="s">
        <v>31</v>
      </c>
      <c r="S79">
        <v>5</v>
      </c>
    </row>
    <row r="80" spans="1:20">
      <c r="A80">
        <v>79</v>
      </c>
      <c r="B80" s="14">
        <v>45958</v>
      </c>
      <c r="C80" t="s">
        <v>33</v>
      </c>
      <c r="D80" t="s">
        <v>34</v>
      </c>
      <c r="E80" t="s">
        <v>82</v>
      </c>
      <c r="G80" t="s">
        <v>88</v>
      </c>
      <c r="H80" t="s">
        <v>73</v>
      </c>
      <c r="I80" t="s">
        <v>53</v>
      </c>
      <c r="J80" t="s">
        <v>63</v>
      </c>
      <c r="K80">
        <v>47</v>
      </c>
      <c r="L80">
        <v>9.89</v>
      </c>
      <c r="M80">
        <v>10</v>
      </c>
      <c r="O80" t="s">
        <v>54</v>
      </c>
      <c r="P80" t="s">
        <v>75</v>
      </c>
      <c r="Q80" t="s">
        <v>30</v>
      </c>
      <c r="S80">
        <v>5</v>
      </c>
      <c r="T80" t="s">
        <v>32</v>
      </c>
    </row>
    <row r="81" spans="1:20">
      <c r="A81">
        <v>80</v>
      </c>
      <c r="B81" s="14">
        <v>45737</v>
      </c>
      <c r="C81" t="s">
        <v>55</v>
      </c>
      <c r="D81" t="s">
        <v>83</v>
      </c>
      <c r="E81" t="s">
        <v>107</v>
      </c>
      <c r="F81" t="s">
        <v>44</v>
      </c>
      <c r="G81" t="s">
        <v>45</v>
      </c>
      <c r="H81" t="s">
        <v>37</v>
      </c>
      <c r="I81" t="s">
        <v>53</v>
      </c>
      <c r="J81" t="s">
        <v>27</v>
      </c>
      <c r="K81">
        <v>49</v>
      </c>
      <c r="L81">
        <v>31.46</v>
      </c>
      <c r="M81">
        <v>5</v>
      </c>
      <c r="O81" t="s">
        <v>59</v>
      </c>
      <c r="P81" t="s">
        <v>71</v>
      </c>
      <c r="Q81" t="s">
        <v>41</v>
      </c>
      <c r="R81" t="s">
        <v>31</v>
      </c>
      <c r="S81">
        <v>2</v>
      </c>
      <c r="T81" t="s">
        <v>49</v>
      </c>
    </row>
    <row r="82" spans="1:20">
      <c r="A82">
        <v>81</v>
      </c>
      <c r="B82" s="14">
        <v>46017</v>
      </c>
      <c r="C82" t="s">
        <v>77</v>
      </c>
      <c r="D82" t="s">
        <v>56</v>
      </c>
      <c r="E82" t="s">
        <v>82</v>
      </c>
      <c r="F82" t="s">
        <v>23</v>
      </c>
      <c r="G82" t="s">
        <v>88</v>
      </c>
      <c r="H82" t="s">
        <v>25</v>
      </c>
      <c r="I82" t="s">
        <v>26</v>
      </c>
      <c r="J82" t="s">
        <v>63</v>
      </c>
      <c r="K82">
        <v>5</v>
      </c>
      <c r="L82">
        <v>18.48</v>
      </c>
      <c r="M82">
        <v>0</v>
      </c>
      <c r="O82" t="s">
        <v>28</v>
      </c>
      <c r="P82" t="s">
        <v>64</v>
      </c>
      <c r="Q82" t="s">
        <v>65</v>
      </c>
      <c r="R82" t="s">
        <v>42</v>
      </c>
      <c r="S82">
        <v>4</v>
      </c>
      <c r="T82" t="s">
        <v>49</v>
      </c>
    </row>
    <row r="83" spans="1:18">
      <c r="A83">
        <v>82</v>
      </c>
      <c r="B83" s="14">
        <v>45738</v>
      </c>
      <c r="C83" t="s">
        <v>60</v>
      </c>
      <c r="D83" t="s">
        <v>56</v>
      </c>
      <c r="E83" t="s">
        <v>113</v>
      </c>
      <c r="F83" t="s">
        <v>23</v>
      </c>
      <c r="G83" t="s">
        <v>68</v>
      </c>
      <c r="H83" t="s">
        <v>37</v>
      </c>
      <c r="I83" t="s">
        <v>74</v>
      </c>
      <c r="J83" t="s">
        <v>27</v>
      </c>
      <c r="K83">
        <v>10</v>
      </c>
      <c r="L83">
        <v>19.95</v>
      </c>
      <c r="O83" t="s">
        <v>28</v>
      </c>
      <c r="P83" t="s">
        <v>71</v>
      </c>
      <c r="Q83" t="s">
        <v>41</v>
      </c>
      <c r="R83" t="s">
        <v>42</v>
      </c>
    </row>
    <row r="84" spans="1:19">
      <c r="A84">
        <v>83</v>
      </c>
      <c r="B84" s="14">
        <v>45906</v>
      </c>
      <c r="C84" t="s">
        <v>33</v>
      </c>
      <c r="D84" t="s">
        <v>83</v>
      </c>
      <c r="E84" t="s">
        <v>97</v>
      </c>
      <c r="F84" t="s">
        <v>23</v>
      </c>
      <c r="G84" t="s">
        <v>24</v>
      </c>
      <c r="H84" t="s">
        <v>37</v>
      </c>
      <c r="I84" t="s">
        <v>74</v>
      </c>
      <c r="J84" t="s">
        <v>48</v>
      </c>
      <c r="K84">
        <v>28</v>
      </c>
      <c r="L84">
        <v>15.53</v>
      </c>
      <c r="O84" t="s">
        <v>59</v>
      </c>
      <c r="P84" t="s">
        <v>75</v>
      </c>
      <c r="Q84" t="s">
        <v>30</v>
      </c>
      <c r="R84" t="s">
        <v>31</v>
      </c>
      <c r="S84">
        <v>4</v>
      </c>
    </row>
    <row r="85" spans="1:20">
      <c r="A85">
        <v>84</v>
      </c>
      <c r="B85" s="14">
        <v>45661</v>
      </c>
      <c r="C85" t="s">
        <v>50</v>
      </c>
      <c r="D85" t="s">
        <v>56</v>
      </c>
      <c r="E85" t="s">
        <v>110</v>
      </c>
      <c r="F85" t="s">
        <v>91</v>
      </c>
      <c r="G85" t="s">
        <v>45</v>
      </c>
      <c r="H85" t="s">
        <v>46</v>
      </c>
      <c r="I85" t="s">
        <v>53</v>
      </c>
      <c r="J85" t="s">
        <v>27</v>
      </c>
      <c r="K85">
        <v>1</v>
      </c>
      <c r="L85">
        <v>52.25</v>
      </c>
      <c r="M85">
        <v>15</v>
      </c>
      <c r="O85" t="s">
        <v>40</v>
      </c>
      <c r="P85" t="s">
        <v>64</v>
      </c>
      <c r="Q85" t="s">
        <v>65</v>
      </c>
      <c r="T85" t="s">
        <v>32</v>
      </c>
    </row>
    <row r="86" spans="1:17">
      <c r="A86">
        <v>85</v>
      </c>
      <c r="B86" s="14">
        <v>45914</v>
      </c>
      <c r="C86" t="s">
        <v>33</v>
      </c>
      <c r="D86" t="s">
        <v>61</v>
      </c>
      <c r="E86" t="s">
        <v>112</v>
      </c>
      <c r="F86" t="s">
        <v>23</v>
      </c>
      <c r="G86" t="s">
        <v>88</v>
      </c>
      <c r="H86" t="s">
        <v>73</v>
      </c>
      <c r="I86" t="s">
        <v>74</v>
      </c>
      <c r="J86" t="s">
        <v>63</v>
      </c>
      <c r="K86">
        <v>2</v>
      </c>
      <c r="L86">
        <v>48.68</v>
      </c>
      <c r="M86">
        <v>0</v>
      </c>
      <c r="O86" t="s">
        <v>54</v>
      </c>
      <c r="P86" t="s">
        <v>29</v>
      </c>
      <c r="Q86" t="s">
        <v>65</v>
      </c>
    </row>
    <row r="87" spans="1:19">
      <c r="A87">
        <v>86</v>
      </c>
      <c r="B87" s="14">
        <v>45806</v>
      </c>
      <c r="C87" t="s">
        <v>20</v>
      </c>
      <c r="D87" t="s">
        <v>83</v>
      </c>
      <c r="E87" t="s">
        <v>35</v>
      </c>
      <c r="F87" t="s">
        <v>23</v>
      </c>
      <c r="G87" t="s">
        <v>24</v>
      </c>
      <c r="H87" t="s">
        <v>37</v>
      </c>
      <c r="I87" t="s">
        <v>38</v>
      </c>
      <c r="J87" t="s">
        <v>48</v>
      </c>
      <c r="K87">
        <v>6</v>
      </c>
      <c r="L87">
        <v>46.49</v>
      </c>
      <c r="M87">
        <v>0</v>
      </c>
      <c r="O87" t="s">
        <v>40</v>
      </c>
      <c r="P87" t="s">
        <v>29</v>
      </c>
      <c r="Q87" t="s">
        <v>65</v>
      </c>
      <c r="S87">
        <v>1</v>
      </c>
    </row>
    <row r="88" spans="1:20">
      <c r="A88">
        <v>87</v>
      </c>
      <c r="B88" s="14">
        <v>45816</v>
      </c>
      <c r="C88" t="s">
        <v>55</v>
      </c>
      <c r="D88" t="s">
        <v>56</v>
      </c>
      <c r="E88" t="s">
        <v>107</v>
      </c>
      <c r="F88" t="s">
        <v>23</v>
      </c>
      <c r="G88" t="s">
        <v>24</v>
      </c>
      <c r="H88" t="s">
        <v>58</v>
      </c>
      <c r="I88" t="s">
        <v>47</v>
      </c>
      <c r="J88" t="s">
        <v>27</v>
      </c>
      <c r="K88">
        <v>34</v>
      </c>
      <c r="L88">
        <v>53.45</v>
      </c>
      <c r="M88">
        <v>10</v>
      </c>
      <c r="O88" t="s">
        <v>54</v>
      </c>
      <c r="P88" t="s">
        <v>64</v>
      </c>
      <c r="Q88" t="s">
        <v>76</v>
      </c>
      <c r="R88" t="s">
        <v>31</v>
      </c>
      <c r="S88">
        <v>2</v>
      </c>
      <c r="T88" t="s">
        <v>49</v>
      </c>
    </row>
    <row r="89" spans="1:19">
      <c r="A89">
        <v>88</v>
      </c>
      <c r="B89" s="14">
        <v>45759</v>
      </c>
      <c r="C89" t="s">
        <v>50</v>
      </c>
      <c r="D89" t="s">
        <v>34</v>
      </c>
      <c r="E89" t="s">
        <v>90</v>
      </c>
      <c r="G89" t="s">
        <v>88</v>
      </c>
      <c r="H89" t="s">
        <v>25</v>
      </c>
      <c r="I89" t="s">
        <v>38</v>
      </c>
      <c r="J89" t="s">
        <v>63</v>
      </c>
      <c r="K89">
        <v>49</v>
      </c>
      <c r="L89">
        <v>58.55</v>
      </c>
      <c r="O89" t="s">
        <v>59</v>
      </c>
      <c r="P89" t="s">
        <v>75</v>
      </c>
      <c r="Q89" t="s">
        <v>41</v>
      </c>
      <c r="R89" t="s">
        <v>31</v>
      </c>
      <c r="S89">
        <v>4</v>
      </c>
    </row>
    <row r="90" spans="1:18">
      <c r="A90">
        <v>89</v>
      </c>
      <c r="B90" s="14">
        <v>45898</v>
      </c>
      <c r="C90" t="s">
        <v>85</v>
      </c>
      <c r="D90" t="s">
        <v>51</v>
      </c>
      <c r="E90" t="s">
        <v>114</v>
      </c>
      <c r="F90" t="s">
        <v>23</v>
      </c>
      <c r="G90" t="s">
        <v>68</v>
      </c>
      <c r="H90" t="s">
        <v>58</v>
      </c>
      <c r="I90" t="s">
        <v>53</v>
      </c>
      <c r="J90" t="s">
        <v>27</v>
      </c>
      <c r="K90">
        <v>20</v>
      </c>
      <c r="L90">
        <v>48.87</v>
      </c>
      <c r="M90">
        <v>0</v>
      </c>
      <c r="O90" t="s">
        <v>28</v>
      </c>
      <c r="P90" t="s">
        <v>75</v>
      </c>
      <c r="Q90" t="s">
        <v>41</v>
      </c>
      <c r="R90" t="s">
        <v>31</v>
      </c>
    </row>
    <row r="91" spans="1:20">
      <c r="A91">
        <v>90</v>
      </c>
      <c r="B91" s="14">
        <v>45972</v>
      </c>
      <c r="C91" t="s">
        <v>33</v>
      </c>
      <c r="D91" t="s">
        <v>34</v>
      </c>
      <c r="E91" t="s">
        <v>43</v>
      </c>
      <c r="F91" t="s">
        <v>70</v>
      </c>
      <c r="G91" t="s">
        <v>68</v>
      </c>
      <c r="H91" t="s">
        <v>37</v>
      </c>
      <c r="I91" t="s">
        <v>74</v>
      </c>
      <c r="J91" t="s">
        <v>63</v>
      </c>
      <c r="K91">
        <v>37</v>
      </c>
      <c r="L91">
        <v>66.92</v>
      </c>
      <c r="M91">
        <v>10</v>
      </c>
      <c r="O91" t="s">
        <v>59</v>
      </c>
      <c r="P91" t="s">
        <v>64</v>
      </c>
      <c r="Q91" t="s">
        <v>30</v>
      </c>
      <c r="R91" t="s">
        <v>42</v>
      </c>
      <c r="S91">
        <v>1</v>
      </c>
      <c r="T91" t="s">
        <v>49</v>
      </c>
    </row>
    <row r="92" spans="1:19">
      <c r="A92">
        <v>91</v>
      </c>
      <c r="B92" s="14">
        <v>45701</v>
      </c>
      <c r="C92" t="s">
        <v>33</v>
      </c>
      <c r="D92" t="s">
        <v>51</v>
      </c>
      <c r="E92" t="s">
        <v>92</v>
      </c>
      <c r="F92" t="s">
        <v>44</v>
      </c>
      <c r="G92" t="s">
        <v>24</v>
      </c>
      <c r="H92" t="s">
        <v>73</v>
      </c>
      <c r="I92" t="s">
        <v>38</v>
      </c>
      <c r="J92" t="s">
        <v>39</v>
      </c>
      <c r="K92">
        <v>24</v>
      </c>
      <c r="L92">
        <v>40.42</v>
      </c>
      <c r="M92">
        <v>10</v>
      </c>
      <c r="O92" t="s">
        <v>59</v>
      </c>
      <c r="P92" t="s">
        <v>29</v>
      </c>
      <c r="Q92" t="s">
        <v>41</v>
      </c>
      <c r="S92">
        <v>5</v>
      </c>
    </row>
    <row r="93" spans="1:20">
      <c r="A93">
        <v>92</v>
      </c>
      <c r="B93" s="14">
        <v>45981</v>
      </c>
      <c r="C93" t="s">
        <v>55</v>
      </c>
      <c r="D93" t="s">
        <v>56</v>
      </c>
      <c r="E93" t="s">
        <v>52</v>
      </c>
      <c r="F93" t="s">
        <v>23</v>
      </c>
      <c r="G93" t="s">
        <v>88</v>
      </c>
      <c r="H93" t="s">
        <v>37</v>
      </c>
      <c r="I93" t="s">
        <v>38</v>
      </c>
      <c r="J93" t="s">
        <v>48</v>
      </c>
      <c r="K93">
        <v>17</v>
      </c>
      <c r="L93">
        <v>73.75</v>
      </c>
      <c r="O93" t="s">
        <v>40</v>
      </c>
      <c r="P93" t="s">
        <v>75</v>
      </c>
      <c r="Q93" t="s">
        <v>30</v>
      </c>
      <c r="T93" t="s">
        <v>32</v>
      </c>
    </row>
    <row r="94" spans="1:19">
      <c r="A94">
        <v>93</v>
      </c>
      <c r="B94" s="14">
        <v>45837</v>
      </c>
      <c r="C94" t="s">
        <v>60</v>
      </c>
      <c r="D94" t="s">
        <v>51</v>
      </c>
      <c r="E94" t="s">
        <v>57</v>
      </c>
      <c r="G94" t="s">
        <v>81</v>
      </c>
      <c r="H94" t="s">
        <v>25</v>
      </c>
      <c r="I94" t="s">
        <v>47</v>
      </c>
      <c r="J94" t="s">
        <v>27</v>
      </c>
      <c r="K94">
        <v>20</v>
      </c>
      <c r="L94">
        <v>58.1</v>
      </c>
      <c r="M94">
        <v>10</v>
      </c>
      <c r="O94" t="s">
        <v>40</v>
      </c>
      <c r="P94" t="s">
        <v>71</v>
      </c>
      <c r="Q94" t="s">
        <v>65</v>
      </c>
      <c r="S94">
        <v>3</v>
      </c>
    </row>
    <row r="95" spans="1:20">
      <c r="A95">
        <v>94</v>
      </c>
      <c r="B95" s="14">
        <v>45843</v>
      </c>
      <c r="C95" t="s">
        <v>60</v>
      </c>
      <c r="D95" t="s">
        <v>66</v>
      </c>
      <c r="E95" t="s">
        <v>110</v>
      </c>
      <c r="F95" t="s">
        <v>23</v>
      </c>
      <c r="G95" t="s">
        <v>81</v>
      </c>
      <c r="H95" t="s">
        <v>25</v>
      </c>
      <c r="I95" t="s">
        <v>26</v>
      </c>
      <c r="J95" t="s">
        <v>39</v>
      </c>
      <c r="K95">
        <v>10</v>
      </c>
      <c r="L95">
        <v>12.33</v>
      </c>
      <c r="M95">
        <v>0</v>
      </c>
      <c r="O95" t="s">
        <v>28</v>
      </c>
      <c r="P95" t="s">
        <v>75</v>
      </c>
      <c r="Q95" t="s">
        <v>76</v>
      </c>
      <c r="S95">
        <v>4</v>
      </c>
      <c r="T95" t="s">
        <v>32</v>
      </c>
    </row>
    <row r="96" spans="1:20">
      <c r="A96">
        <v>95</v>
      </c>
      <c r="B96" s="14">
        <v>45741</v>
      </c>
      <c r="C96" t="s">
        <v>50</v>
      </c>
      <c r="D96" t="s">
        <v>61</v>
      </c>
      <c r="E96" t="s">
        <v>57</v>
      </c>
      <c r="F96" t="s">
        <v>36</v>
      </c>
      <c r="G96" t="s">
        <v>24</v>
      </c>
      <c r="H96" t="s">
        <v>73</v>
      </c>
      <c r="I96" t="s">
        <v>74</v>
      </c>
      <c r="J96" t="s">
        <v>63</v>
      </c>
      <c r="K96">
        <v>24</v>
      </c>
      <c r="L96">
        <v>69.25</v>
      </c>
      <c r="M96">
        <v>5</v>
      </c>
      <c r="O96" t="s">
        <v>59</v>
      </c>
      <c r="P96" t="s">
        <v>75</v>
      </c>
      <c r="Q96" t="s">
        <v>65</v>
      </c>
      <c r="R96" t="s">
        <v>31</v>
      </c>
      <c r="S96">
        <v>5</v>
      </c>
      <c r="T96" t="s">
        <v>32</v>
      </c>
    </row>
    <row r="97" spans="1:20">
      <c r="A97">
        <v>96</v>
      </c>
      <c r="B97" s="14">
        <v>45816</v>
      </c>
      <c r="C97" t="s">
        <v>77</v>
      </c>
      <c r="D97" t="s">
        <v>61</v>
      </c>
      <c r="E97" t="s">
        <v>115</v>
      </c>
      <c r="F97" t="s">
        <v>91</v>
      </c>
      <c r="G97" t="s">
        <v>45</v>
      </c>
      <c r="H97" t="s">
        <v>37</v>
      </c>
      <c r="I97" t="s">
        <v>38</v>
      </c>
      <c r="J97" t="s">
        <v>63</v>
      </c>
      <c r="K97">
        <v>50</v>
      </c>
      <c r="L97">
        <v>31.77</v>
      </c>
      <c r="M97">
        <v>15</v>
      </c>
      <c r="O97" t="s">
        <v>59</v>
      </c>
      <c r="P97" t="s">
        <v>64</v>
      </c>
      <c r="Q97" t="s">
        <v>76</v>
      </c>
      <c r="S97">
        <v>2</v>
      </c>
      <c r="T97" t="s">
        <v>49</v>
      </c>
    </row>
    <row r="98" spans="1:19">
      <c r="A98">
        <v>97</v>
      </c>
      <c r="B98" s="14">
        <v>45684</v>
      </c>
      <c r="C98" t="s">
        <v>55</v>
      </c>
      <c r="D98" t="s">
        <v>83</v>
      </c>
      <c r="E98" t="s">
        <v>116</v>
      </c>
      <c r="F98" t="s">
        <v>36</v>
      </c>
      <c r="G98" t="s">
        <v>88</v>
      </c>
      <c r="H98" t="s">
        <v>37</v>
      </c>
      <c r="I98" t="s">
        <v>74</v>
      </c>
      <c r="J98" t="s">
        <v>48</v>
      </c>
      <c r="K98">
        <v>6</v>
      </c>
      <c r="L98">
        <v>77.5</v>
      </c>
      <c r="M98">
        <v>10</v>
      </c>
      <c r="O98" t="s">
        <v>59</v>
      </c>
      <c r="P98" t="s">
        <v>64</v>
      </c>
      <c r="Q98" t="s">
        <v>65</v>
      </c>
      <c r="R98" t="s">
        <v>31</v>
      </c>
      <c r="S98">
        <v>2</v>
      </c>
    </row>
    <row r="99" spans="1:19">
      <c r="A99">
        <v>98</v>
      </c>
      <c r="B99" s="14">
        <v>45836</v>
      </c>
      <c r="C99" t="s">
        <v>20</v>
      </c>
      <c r="D99" t="s">
        <v>83</v>
      </c>
      <c r="E99" t="s">
        <v>117</v>
      </c>
      <c r="F99" t="s">
        <v>70</v>
      </c>
      <c r="G99" t="s">
        <v>68</v>
      </c>
      <c r="H99" t="s">
        <v>46</v>
      </c>
      <c r="I99" t="s">
        <v>26</v>
      </c>
      <c r="J99" t="s">
        <v>63</v>
      </c>
      <c r="K99">
        <v>6</v>
      </c>
      <c r="L99">
        <v>40.62</v>
      </c>
      <c r="M99">
        <v>0</v>
      </c>
      <c r="O99" t="s">
        <v>54</v>
      </c>
      <c r="P99" t="s">
        <v>71</v>
      </c>
      <c r="Q99" t="s">
        <v>41</v>
      </c>
      <c r="R99" t="s">
        <v>31</v>
      </c>
      <c r="S99">
        <v>2</v>
      </c>
    </row>
    <row r="100" spans="1:20">
      <c r="A100">
        <v>99</v>
      </c>
      <c r="B100" s="14">
        <v>45804</v>
      </c>
      <c r="C100" t="s">
        <v>77</v>
      </c>
      <c r="D100" t="s">
        <v>83</v>
      </c>
      <c r="E100" t="s">
        <v>57</v>
      </c>
      <c r="F100" t="s">
        <v>91</v>
      </c>
      <c r="H100" t="s">
        <v>73</v>
      </c>
      <c r="I100" t="s">
        <v>38</v>
      </c>
      <c r="J100" t="s">
        <v>27</v>
      </c>
      <c r="K100">
        <v>6</v>
      </c>
      <c r="L100">
        <v>6.81</v>
      </c>
      <c r="M100">
        <v>5</v>
      </c>
      <c r="O100" t="s">
        <v>40</v>
      </c>
      <c r="P100" t="s">
        <v>29</v>
      </c>
      <c r="Q100" t="s">
        <v>30</v>
      </c>
      <c r="R100" t="s">
        <v>42</v>
      </c>
      <c r="S100">
        <v>2</v>
      </c>
      <c r="T100" t="s">
        <v>49</v>
      </c>
    </row>
    <row r="101" spans="1:20">
      <c r="A101">
        <v>100</v>
      </c>
      <c r="B101" s="14">
        <v>45720</v>
      </c>
      <c r="C101" t="s">
        <v>20</v>
      </c>
      <c r="D101" t="s">
        <v>66</v>
      </c>
      <c r="E101" t="s">
        <v>97</v>
      </c>
      <c r="G101" t="s">
        <v>68</v>
      </c>
      <c r="H101" t="s">
        <v>73</v>
      </c>
      <c r="I101" t="s">
        <v>74</v>
      </c>
      <c r="J101" t="s">
        <v>27</v>
      </c>
      <c r="K101">
        <v>32</v>
      </c>
      <c r="L101">
        <v>61.69</v>
      </c>
      <c r="M101">
        <v>0</v>
      </c>
      <c r="O101" t="s">
        <v>40</v>
      </c>
      <c r="P101" t="s">
        <v>64</v>
      </c>
      <c r="Q101" t="s">
        <v>41</v>
      </c>
      <c r="R101" t="s">
        <v>42</v>
      </c>
      <c r="S101">
        <v>1</v>
      </c>
      <c r="T101" t="s">
        <v>49</v>
      </c>
    </row>
    <row r="102" spans="1:18">
      <c r="A102">
        <v>101</v>
      </c>
      <c r="B102" s="14">
        <v>45781</v>
      </c>
      <c r="C102" t="s">
        <v>33</v>
      </c>
      <c r="D102" t="s">
        <v>83</v>
      </c>
      <c r="E102" t="s">
        <v>92</v>
      </c>
      <c r="H102" t="s">
        <v>58</v>
      </c>
      <c r="I102" t="s">
        <v>47</v>
      </c>
      <c r="J102" t="s">
        <v>48</v>
      </c>
      <c r="K102">
        <v>5</v>
      </c>
      <c r="L102">
        <v>95.57</v>
      </c>
      <c r="O102" t="s">
        <v>28</v>
      </c>
      <c r="P102" t="s">
        <v>29</v>
      </c>
      <c r="Q102" t="s">
        <v>65</v>
      </c>
      <c r="R102" t="s">
        <v>31</v>
      </c>
    </row>
    <row r="103" spans="1:20">
      <c r="A103">
        <v>102</v>
      </c>
      <c r="B103" s="14">
        <v>45849</v>
      </c>
      <c r="C103" t="s">
        <v>60</v>
      </c>
      <c r="D103" t="s">
        <v>51</v>
      </c>
      <c r="E103" t="s">
        <v>35</v>
      </c>
      <c r="F103" t="s">
        <v>23</v>
      </c>
      <c r="G103" t="s">
        <v>88</v>
      </c>
      <c r="H103" t="s">
        <v>46</v>
      </c>
      <c r="I103" t="s">
        <v>26</v>
      </c>
      <c r="J103" t="s">
        <v>27</v>
      </c>
      <c r="K103">
        <v>50</v>
      </c>
      <c r="L103">
        <v>60.28</v>
      </c>
      <c r="M103">
        <v>10</v>
      </c>
      <c r="O103" t="s">
        <v>40</v>
      </c>
      <c r="P103" t="s">
        <v>71</v>
      </c>
      <c r="Q103" t="s">
        <v>41</v>
      </c>
      <c r="S103">
        <v>3</v>
      </c>
      <c r="T103" t="s">
        <v>32</v>
      </c>
    </row>
    <row r="104" spans="1:19">
      <c r="A104">
        <v>103</v>
      </c>
      <c r="B104" s="14">
        <v>46008</v>
      </c>
      <c r="C104" t="s">
        <v>85</v>
      </c>
      <c r="D104" t="s">
        <v>51</v>
      </c>
      <c r="E104" t="s">
        <v>115</v>
      </c>
      <c r="G104" t="s">
        <v>24</v>
      </c>
      <c r="H104" t="s">
        <v>25</v>
      </c>
      <c r="I104" t="s">
        <v>74</v>
      </c>
      <c r="J104" t="s">
        <v>63</v>
      </c>
      <c r="K104">
        <v>3</v>
      </c>
      <c r="L104">
        <v>32.88</v>
      </c>
      <c r="M104">
        <v>0</v>
      </c>
      <c r="O104" t="s">
        <v>40</v>
      </c>
      <c r="P104" t="s">
        <v>71</v>
      </c>
      <c r="Q104" t="s">
        <v>41</v>
      </c>
      <c r="R104" t="s">
        <v>42</v>
      </c>
      <c r="S104">
        <v>5</v>
      </c>
    </row>
    <row r="105" spans="1:19">
      <c r="A105">
        <v>104</v>
      </c>
      <c r="B105" s="14">
        <v>45936</v>
      </c>
      <c r="C105" t="s">
        <v>85</v>
      </c>
      <c r="D105" t="s">
        <v>56</v>
      </c>
      <c r="E105" t="s">
        <v>118</v>
      </c>
      <c r="G105" t="s">
        <v>24</v>
      </c>
      <c r="H105" t="s">
        <v>46</v>
      </c>
      <c r="I105" t="s">
        <v>53</v>
      </c>
      <c r="J105" t="s">
        <v>27</v>
      </c>
      <c r="K105">
        <v>42</v>
      </c>
      <c r="L105">
        <v>36.53</v>
      </c>
      <c r="M105">
        <v>0</v>
      </c>
      <c r="O105" t="s">
        <v>54</v>
      </c>
      <c r="P105" t="s">
        <v>29</v>
      </c>
      <c r="Q105" t="s">
        <v>65</v>
      </c>
      <c r="S105">
        <v>4</v>
      </c>
    </row>
    <row r="106" spans="1:20">
      <c r="A106">
        <v>105</v>
      </c>
      <c r="B106" s="14">
        <v>45831</v>
      </c>
      <c r="C106" t="s">
        <v>50</v>
      </c>
      <c r="D106" t="s">
        <v>83</v>
      </c>
      <c r="E106" t="s">
        <v>57</v>
      </c>
      <c r="F106" t="s">
        <v>70</v>
      </c>
      <c r="G106" t="s">
        <v>45</v>
      </c>
      <c r="H106" t="s">
        <v>37</v>
      </c>
      <c r="I106" t="s">
        <v>53</v>
      </c>
      <c r="J106" t="s">
        <v>27</v>
      </c>
      <c r="K106">
        <v>47</v>
      </c>
      <c r="L106">
        <v>45.33</v>
      </c>
      <c r="M106">
        <v>15</v>
      </c>
      <c r="O106" t="s">
        <v>40</v>
      </c>
      <c r="P106" t="s">
        <v>75</v>
      </c>
      <c r="Q106" t="s">
        <v>41</v>
      </c>
      <c r="R106" t="s">
        <v>31</v>
      </c>
      <c r="S106">
        <v>1</v>
      </c>
      <c r="T106" t="s">
        <v>49</v>
      </c>
    </row>
    <row r="107" spans="1:18">
      <c r="A107">
        <v>106</v>
      </c>
      <c r="B107" s="14">
        <v>45996</v>
      </c>
      <c r="C107" t="s">
        <v>60</v>
      </c>
      <c r="D107" t="s">
        <v>56</v>
      </c>
      <c r="E107" t="s">
        <v>80</v>
      </c>
      <c r="F107" t="s">
        <v>36</v>
      </c>
      <c r="H107" t="s">
        <v>73</v>
      </c>
      <c r="I107" t="s">
        <v>26</v>
      </c>
      <c r="J107" t="s">
        <v>63</v>
      </c>
      <c r="K107">
        <v>23</v>
      </c>
      <c r="L107">
        <v>47.48</v>
      </c>
      <c r="M107">
        <v>10</v>
      </c>
      <c r="O107" t="s">
        <v>59</v>
      </c>
      <c r="P107" t="s">
        <v>75</v>
      </c>
      <c r="Q107" t="s">
        <v>30</v>
      </c>
      <c r="R107" t="s">
        <v>31</v>
      </c>
    </row>
    <row r="108" spans="1:20">
      <c r="A108">
        <v>107</v>
      </c>
      <c r="B108" s="14">
        <v>45844</v>
      </c>
      <c r="C108" t="s">
        <v>33</v>
      </c>
      <c r="D108" t="s">
        <v>61</v>
      </c>
      <c r="E108" t="s">
        <v>22</v>
      </c>
      <c r="G108" t="s">
        <v>24</v>
      </c>
      <c r="H108" t="s">
        <v>58</v>
      </c>
      <c r="I108" t="s">
        <v>26</v>
      </c>
      <c r="J108" t="s">
        <v>63</v>
      </c>
      <c r="K108">
        <v>3</v>
      </c>
      <c r="L108">
        <v>16.99</v>
      </c>
      <c r="M108">
        <v>5</v>
      </c>
      <c r="O108" t="s">
        <v>54</v>
      </c>
      <c r="P108" t="s">
        <v>75</v>
      </c>
      <c r="Q108" t="s">
        <v>65</v>
      </c>
      <c r="S108">
        <v>1</v>
      </c>
      <c r="T108" t="s">
        <v>32</v>
      </c>
    </row>
    <row r="109" spans="1:19">
      <c r="A109">
        <v>108</v>
      </c>
      <c r="B109" s="14">
        <v>46005</v>
      </c>
      <c r="C109" t="s">
        <v>85</v>
      </c>
      <c r="D109" t="s">
        <v>56</v>
      </c>
      <c r="E109" t="s">
        <v>116</v>
      </c>
      <c r="F109" t="s">
        <v>70</v>
      </c>
      <c r="G109" t="s">
        <v>88</v>
      </c>
      <c r="H109" t="s">
        <v>37</v>
      </c>
      <c r="I109" t="s">
        <v>26</v>
      </c>
      <c r="J109" t="s">
        <v>48</v>
      </c>
      <c r="K109">
        <v>26</v>
      </c>
      <c r="L109">
        <v>34.87</v>
      </c>
      <c r="M109">
        <v>10</v>
      </c>
      <c r="O109" t="s">
        <v>40</v>
      </c>
      <c r="P109" t="s">
        <v>71</v>
      </c>
      <c r="Q109" t="s">
        <v>30</v>
      </c>
      <c r="S109">
        <v>2</v>
      </c>
    </row>
    <row r="110" spans="1:20">
      <c r="A110">
        <v>109</v>
      </c>
      <c r="B110" s="14">
        <v>45923</v>
      </c>
      <c r="C110" t="s">
        <v>85</v>
      </c>
      <c r="D110" t="s">
        <v>34</v>
      </c>
      <c r="E110" t="s">
        <v>119</v>
      </c>
      <c r="F110" t="s">
        <v>23</v>
      </c>
      <c r="G110" t="s">
        <v>45</v>
      </c>
      <c r="H110" t="s">
        <v>73</v>
      </c>
      <c r="I110" t="s">
        <v>26</v>
      </c>
      <c r="J110" t="s">
        <v>48</v>
      </c>
      <c r="K110">
        <v>45</v>
      </c>
      <c r="L110">
        <v>92.07</v>
      </c>
      <c r="M110">
        <v>15</v>
      </c>
      <c r="O110" t="s">
        <v>40</v>
      </c>
      <c r="P110" t="s">
        <v>71</v>
      </c>
      <c r="Q110" t="s">
        <v>76</v>
      </c>
      <c r="R110" t="s">
        <v>31</v>
      </c>
      <c r="S110">
        <v>4</v>
      </c>
      <c r="T110" t="s">
        <v>32</v>
      </c>
    </row>
    <row r="111" spans="1:20">
      <c r="A111">
        <v>110</v>
      </c>
      <c r="B111" s="14">
        <v>45885</v>
      </c>
      <c r="C111" t="s">
        <v>20</v>
      </c>
      <c r="D111" t="s">
        <v>61</v>
      </c>
      <c r="E111" t="s">
        <v>69</v>
      </c>
      <c r="F111" t="s">
        <v>23</v>
      </c>
      <c r="H111" t="s">
        <v>46</v>
      </c>
      <c r="I111" t="s">
        <v>74</v>
      </c>
      <c r="J111" t="s">
        <v>48</v>
      </c>
      <c r="K111">
        <v>20</v>
      </c>
      <c r="L111">
        <v>85.88</v>
      </c>
      <c r="M111">
        <v>5</v>
      </c>
      <c r="O111" t="s">
        <v>54</v>
      </c>
      <c r="P111" t="s">
        <v>64</v>
      </c>
      <c r="Q111" t="s">
        <v>30</v>
      </c>
      <c r="R111" t="s">
        <v>31</v>
      </c>
      <c r="S111">
        <v>2</v>
      </c>
      <c r="T111" t="s">
        <v>32</v>
      </c>
    </row>
    <row r="112" spans="1:19">
      <c r="A112">
        <v>111</v>
      </c>
      <c r="B112" s="14">
        <v>45910</v>
      </c>
      <c r="C112" t="s">
        <v>20</v>
      </c>
      <c r="D112" t="s">
        <v>56</v>
      </c>
      <c r="E112" t="s">
        <v>96</v>
      </c>
      <c r="F112" t="s">
        <v>36</v>
      </c>
      <c r="G112" t="s">
        <v>45</v>
      </c>
      <c r="H112" t="s">
        <v>73</v>
      </c>
      <c r="I112" t="s">
        <v>47</v>
      </c>
      <c r="J112" t="s">
        <v>39</v>
      </c>
      <c r="K112">
        <v>40</v>
      </c>
      <c r="L112">
        <v>89</v>
      </c>
      <c r="M112">
        <v>0</v>
      </c>
      <c r="O112" t="s">
        <v>54</v>
      </c>
      <c r="P112" t="s">
        <v>29</v>
      </c>
      <c r="Q112" t="s">
        <v>65</v>
      </c>
      <c r="S112">
        <v>4</v>
      </c>
    </row>
    <row r="113" spans="1:19">
      <c r="A113">
        <v>112</v>
      </c>
      <c r="B113" s="14">
        <v>45952</v>
      </c>
      <c r="C113" t="s">
        <v>20</v>
      </c>
      <c r="D113" t="s">
        <v>66</v>
      </c>
      <c r="E113" t="s">
        <v>108</v>
      </c>
      <c r="G113" t="s">
        <v>88</v>
      </c>
      <c r="H113" t="s">
        <v>73</v>
      </c>
      <c r="I113" t="s">
        <v>38</v>
      </c>
      <c r="J113" t="s">
        <v>48</v>
      </c>
      <c r="K113">
        <v>9</v>
      </c>
      <c r="L113">
        <v>88.41</v>
      </c>
      <c r="O113" t="s">
        <v>40</v>
      </c>
      <c r="P113" t="s">
        <v>64</v>
      </c>
      <c r="Q113" t="s">
        <v>65</v>
      </c>
      <c r="S113">
        <v>1</v>
      </c>
    </row>
    <row r="114" spans="1:19">
      <c r="A114">
        <v>113</v>
      </c>
      <c r="B114" s="14">
        <v>45923</v>
      </c>
      <c r="C114" t="s">
        <v>50</v>
      </c>
      <c r="D114" t="s">
        <v>56</v>
      </c>
      <c r="E114" t="s">
        <v>120</v>
      </c>
      <c r="F114" t="s">
        <v>91</v>
      </c>
      <c r="G114" t="s">
        <v>45</v>
      </c>
      <c r="H114" t="s">
        <v>25</v>
      </c>
      <c r="I114" t="s">
        <v>53</v>
      </c>
      <c r="J114" t="s">
        <v>48</v>
      </c>
      <c r="K114">
        <v>6</v>
      </c>
      <c r="L114">
        <v>28.81</v>
      </c>
      <c r="O114" t="s">
        <v>54</v>
      </c>
      <c r="P114" t="s">
        <v>64</v>
      </c>
      <c r="Q114" t="s">
        <v>41</v>
      </c>
      <c r="S114">
        <v>5</v>
      </c>
    </row>
    <row r="115" spans="1:19">
      <c r="A115">
        <v>114</v>
      </c>
      <c r="B115" s="14">
        <v>45915</v>
      </c>
      <c r="C115" t="s">
        <v>55</v>
      </c>
      <c r="D115" t="s">
        <v>66</v>
      </c>
      <c r="E115" t="s">
        <v>98</v>
      </c>
      <c r="F115" t="s">
        <v>36</v>
      </c>
      <c r="G115" t="s">
        <v>24</v>
      </c>
      <c r="H115" t="s">
        <v>25</v>
      </c>
      <c r="I115" t="s">
        <v>47</v>
      </c>
      <c r="J115" t="s">
        <v>48</v>
      </c>
      <c r="K115">
        <v>37</v>
      </c>
      <c r="L115">
        <v>8.91</v>
      </c>
      <c r="M115">
        <v>0</v>
      </c>
      <c r="O115" t="s">
        <v>28</v>
      </c>
      <c r="P115" t="s">
        <v>71</v>
      </c>
      <c r="Q115" t="s">
        <v>41</v>
      </c>
      <c r="S115">
        <v>2</v>
      </c>
    </row>
    <row r="116" spans="1:20">
      <c r="A116">
        <v>115</v>
      </c>
      <c r="B116" s="14">
        <v>45974</v>
      </c>
      <c r="C116" t="s">
        <v>55</v>
      </c>
      <c r="D116" t="s">
        <v>21</v>
      </c>
      <c r="E116" t="s">
        <v>105</v>
      </c>
      <c r="G116" t="s">
        <v>68</v>
      </c>
      <c r="H116" t="s">
        <v>46</v>
      </c>
      <c r="I116" t="s">
        <v>53</v>
      </c>
      <c r="J116" t="s">
        <v>63</v>
      </c>
      <c r="K116">
        <v>16</v>
      </c>
      <c r="L116">
        <v>81.45</v>
      </c>
      <c r="M116">
        <v>15</v>
      </c>
      <c r="O116" t="s">
        <v>54</v>
      </c>
      <c r="P116" t="s">
        <v>29</v>
      </c>
      <c r="Q116" t="s">
        <v>30</v>
      </c>
      <c r="S116">
        <v>1</v>
      </c>
      <c r="T116" t="s">
        <v>32</v>
      </c>
    </row>
    <row r="117" spans="1:19">
      <c r="A117">
        <v>116</v>
      </c>
      <c r="B117" s="14">
        <v>45883</v>
      </c>
      <c r="C117" t="s">
        <v>85</v>
      </c>
      <c r="D117" t="s">
        <v>83</v>
      </c>
      <c r="E117" t="s">
        <v>93</v>
      </c>
      <c r="F117" t="s">
        <v>91</v>
      </c>
      <c r="G117" t="s">
        <v>45</v>
      </c>
      <c r="H117" t="s">
        <v>37</v>
      </c>
      <c r="I117" t="s">
        <v>26</v>
      </c>
      <c r="J117" t="s">
        <v>48</v>
      </c>
      <c r="K117">
        <v>46</v>
      </c>
      <c r="L117">
        <v>35.34</v>
      </c>
      <c r="M117">
        <v>10</v>
      </c>
      <c r="O117" t="s">
        <v>59</v>
      </c>
      <c r="P117" t="s">
        <v>64</v>
      </c>
      <c r="Q117" t="s">
        <v>41</v>
      </c>
      <c r="S117">
        <v>5</v>
      </c>
    </row>
    <row r="118" spans="1:20">
      <c r="A118">
        <v>117</v>
      </c>
      <c r="B118" s="14">
        <v>45821</v>
      </c>
      <c r="C118" t="s">
        <v>50</v>
      </c>
      <c r="D118" t="s">
        <v>83</v>
      </c>
      <c r="E118" t="s">
        <v>119</v>
      </c>
      <c r="F118" t="s">
        <v>23</v>
      </c>
      <c r="G118" t="s">
        <v>81</v>
      </c>
      <c r="H118" t="s">
        <v>25</v>
      </c>
      <c r="I118" t="s">
        <v>26</v>
      </c>
      <c r="J118" t="s">
        <v>27</v>
      </c>
      <c r="K118">
        <v>4</v>
      </c>
      <c r="L118">
        <v>32.57</v>
      </c>
      <c r="M118">
        <v>15</v>
      </c>
      <c r="O118" t="s">
        <v>59</v>
      </c>
      <c r="P118" t="s">
        <v>64</v>
      </c>
      <c r="Q118" t="s">
        <v>76</v>
      </c>
      <c r="R118" t="s">
        <v>42</v>
      </c>
      <c r="S118">
        <v>5</v>
      </c>
      <c r="T118" t="s">
        <v>49</v>
      </c>
    </row>
    <row r="119" spans="1:19">
      <c r="A119">
        <v>118</v>
      </c>
      <c r="B119" s="14">
        <v>45755</v>
      </c>
      <c r="C119" t="s">
        <v>77</v>
      </c>
      <c r="D119" t="s">
        <v>66</v>
      </c>
      <c r="E119" t="s">
        <v>105</v>
      </c>
      <c r="F119" t="s">
        <v>36</v>
      </c>
      <c r="G119" t="s">
        <v>81</v>
      </c>
      <c r="H119" t="s">
        <v>73</v>
      </c>
      <c r="I119" t="s">
        <v>53</v>
      </c>
      <c r="J119" t="s">
        <v>63</v>
      </c>
      <c r="K119">
        <v>2</v>
      </c>
      <c r="L119">
        <v>13.55</v>
      </c>
      <c r="M119">
        <v>15</v>
      </c>
      <c r="O119" t="s">
        <v>59</v>
      </c>
      <c r="P119" t="s">
        <v>64</v>
      </c>
      <c r="Q119" t="s">
        <v>76</v>
      </c>
      <c r="S119">
        <v>3</v>
      </c>
    </row>
    <row r="120" spans="1:19">
      <c r="A120">
        <v>119</v>
      </c>
      <c r="B120" s="14">
        <v>45683</v>
      </c>
      <c r="C120" t="s">
        <v>60</v>
      </c>
      <c r="D120" t="s">
        <v>83</v>
      </c>
      <c r="E120" t="s">
        <v>95</v>
      </c>
      <c r="H120" t="s">
        <v>73</v>
      </c>
      <c r="I120" t="s">
        <v>53</v>
      </c>
      <c r="J120" t="s">
        <v>27</v>
      </c>
      <c r="K120">
        <v>7</v>
      </c>
      <c r="L120">
        <v>45.94</v>
      </c>
      <c r="M120">
        <v>10</v>
      </c>
      <c r="O120" t="s">
        <v>54</v>
      </c>
      <c r="P120" t="s">
        <v>29</v>
      </c>
      <c r="Q120" t="s">
        <v>41</v>
      </c>
      <c r="R120" t="s">
        <v>31</v>
      </c>
      <c r="S120">
        <v>4</v>
      </c>
    </row>
    <row r="121" spans="1:20">
      <c r="A121">
        <v>120</v>
      </c>
      <c r="B121" s="14">
        <v>45949</v>
      </c>
      <c r="C121" t="s">
        <v>33</v>
      </c>
      <c r="D121" t="s">
        <v>66</v>
      </c>
      <c r="E121" t="s">
        <v>116</v>
      </c>
      <c r="F121" t="s">
        <v>36</v>
      </c>
      <c r="G121" t="s">
        <v>45</v>
      </c>
      <c r="H121" t="s">
        <v>58</v>
      </c>
      <c r="I121" t="s">
        <v>38</v>
      </c>
      <c r="J121" t="s">
        <v>63</v>
      </c>
      <c r="K121">
        <v>49</v>
      </c>
      <c r="L121">
        <v>57.24</v>
      </c>
      <c r="O121" t="s">
        <v>28</v>
      </c>
      <c r="P121" t="s">
        <v>64</v>
      </c>
      <c r="Q121" t="s">
        <v>30</v>
      </c>
      <c r="R121" t="s">
        <v>42</v>
      </c>
      <c r="S121">
        <v>3</v>
      </c>
      <c r="T121" t="s">
        <v>49</v>
      </c>
    </row>
    <row r="122" spans="1:20">
      <c r="A122">
        <v>121</v>
      </c>
      <c r="B122" s="14">
        <v>45943</v>
      </c>
      <c r="C122" t="s">
        <v>60</v>
      </c>
      <c r="D122" t="s">
        <v>61</v>
      </c>
      <c r="E122" t="s">
        <v>90</v>
      </c>
      <c r="F122" t="s">
        <v>91</v>
      </c>
      <c r="G122" t="s">
        <v>68</v>
      </c>
      <c r="H122" t="s">
        <v>37</v>
      </c>
      <c r="I122" t="s">
        <v>38</v>
      </c>
      <c r="J122" t="s">
        <v>27</v>
      </c>
      <c r="K122">
        <v>3</v>
      </c>
      <c r="L122">
        <v>8.7</v>
      </c>
      <c r="M122">
        <v>10</v>
      </c>
      <c r="O122" t="s">
        <v>59</v>
      </c>
      <c r="P122" t="s">
        <v>29</v>
      </c>
      <c r="Q122" t="s">
        <v>76</v>
      </c>
      <c r="S122">
        <v>5</v>
      </c>
      <c r="T122" t="s">
        <v>32</v>
      </c>
    </row>
    <row r="123" spans="1:20">
      <c r="A123">
        <v>122</v>
      </c>
      <c r="B123" s="14">
        <v>45825</v>
      </c>
      <c r="C123" t="s">
        <v>33</v>
      </c>
      <c r="D123" t="s">
        <v>56</v>
      </c>
      <c r="E123" t="s">
        <v>120</v>
      </c>
      <c r="F123" t="s">
        <v>70</v>
      </c>
      <c r="G123" t="s">
        <v>68</v>
      </c>
      <c r="H123" t="s">
        <v>46</v>
      </c>
      <c r="I123" t="s">
        <v>47</v>
      </c>
      <c r="J123" t="s">
        <v>48</v>
      </c>
      <c r="K123">
        <v>33</v>
      </c>
      <c r="L123">
        <v>83.69</v>
      </c>
      <c r="O123" t="s">
        <v>59</v>
      </c>
      <c r="P123" t="s">
        <v>75</v>
      </c>
      <c r="Q123" t="s">
        <v>65</v>
      </c>
      <c r="R123" t="s">
        <v>31</v>
      </c>
      <c r="S123">
        <v>3</v>
      </c>
      <c r="T123" t="s">
        <v>49</v>
      </c>
    </row>
    <row r="124" spans="1:19">
      <c r="A124">
        <v>123</v>
      </c>
      <c r="B124" s="14">
        <v>46002</v>
      </c>
      <c r="C124" t="s">
        <v>20</v>
      </c>
      <c r="D124" t="s">
        <v>83</v>
      </c>
      <c r="E124" t="s">
        <v>98</v>
      </c>
      <c r="F124" t="s">
        <v>23</v>
      </c>
      <c r="H124" t="s">
        <v>58</v>
      </c>
      <c r="I124" t="s">
        <v>47</v>
      </c>
      <c r="J124" t="s">
        <v>63</v>
      </c>
      <c r="K124">
        <v>17</v>
      </c>
      <c r="L124">
        <v>96.87</v>
      </c>
      <c r="O124" t="s">
        <v>40</v>
      </c>
      <c r="P124" t="s">
        <v>71</v>
      </c>
      <c r="Q124" t="s">
        <v>65</v>
      </c>
      <c r="R124" t="s">
        <v>31</v>
      </c>
      <c r="S124">
        <v>5</v>
      </c>
    </row>
    <row r="125" spans="1:19">
      <c r="A125">
        <v>124</v>
      </c>
      <c r="B125" s="14">
        <v>45733</v>
      </c>
      <c r="C125" t="s">
        <v>77</v>
      </c>
      <c r="D125" t="s">
        <v>51</v>
      </c>
      <c r="E125" t="s">
        <v>67</v>
      </c>
      <c r="F125" t="s">
        <v>44</v>
      </c>
      <c r="G125" t="s">
        <v>68</v>
      </c>
      <c r="H125" t="s">
        <v>58</v>
      </c>
      <c r="I125" t="s">
        <v>26</v>
      </c>
      <c r="J125" t="s">
        <v>27</v>
      </c>
      <c r="K125">
        <v>29</v>
      </c>
      <c r="L125">
        <v>34.8</v>
      </c>
      <c r="M125">
        <v>5</v>
      </c>
      <c r="O125" t="s">
        <v>59</v>
      </c>
      <c r="P125" t="s">
        <v>64</v>
      </c>
      <c r="Q125" t="s">
        <v>65</v>
      </c>
      <c r="S125">
        <v>5</v>
      </c>
    </row>
    <row r="126" spans="1:20">
      <c r="A126">
        <v>125</v>
      </c>
      <c r="B126" s="14">
        <v>45689</v>
      </c>
      <c r="C126" t="s">
        <v>55</v>
      </c>
      <c r="D126" t="s">
        <v>66</v>
      </c>
      <c r="E126" t="s">
        <v>99</v>
      </c>
      <c r="F126" t="s">
        <v>91</v>
      </c>
      <c r="G126" t="s">
        <v>68</v>
      </c>
      <c r="H126" t="s">
        <v>46</v>
      </c>
      <c r="I126" t="s">
        <v>38</v>
      </c>
      <c r="J126" t="s">
        <v>63</v>
      </c>
      <c r="K126">
        <v>21</v>
      </c>
      <c r="L126">
        <v>95.89</v>
      </c>
      <c r="M126">
        <v>15</v>
      </c>
      <c r="O126" t="s">
        <v>54</v>
      </c>
      <c r="P126" t="s">
        <v>75</v>
      </c>
      <c r="Q126" t="s">
        <v>41</v>
      </c>
      <c r="S126">
        <v>4</v>
      </c>
      <c r="T126" t="s">
        <v>32</v>
      </c>
    </row>
    <row r="127" spans="1:17">
      <c r="A127">
        <v>126</v>
      </c>
      <c r="B127" s="14">
        <v>45784</v>
      </c>
      <c r="C127" t="s">
        <v>60</v>
      </c>
      <c r="D127" t="s">
        <v>34</v>
      </c>
      <c r="E127" t="s">
        <v>114</v>
      </c>
      <c r="F127" t="s">
        <v>91</v>
      </c>
      <c r="G127" t="s">
        <v>45</v>
      </c>
      <c r="H127" t="s">
        <v>46</v>
      </c>
      <c r="I127" t="s">
        <v>26</v>
      </c>
      <c r="J127" t="s">
        <v>63</v>
      </c>
      <c r="K127">
        <v>21</v>
      </c>
      <c r="L127">
        <v>50.58</v>
      </c>
      <c r="O127" t="s">
        <v>54</v>
      </c>
      <c r="P127" t="s">
        <v>75</v>
      </c>
      <c r="Q127" t="s">
        <v>30</v>
      </c>
    </row>
    <row r="128" spans="1:20">
      <c r="A128">
        <v>127</v>
      </c>
      <c r="B128" s="14">
        <v>45860</v>
      </c>
      <c r="C128" t="s">
        <v>77</v>
      </c>
      <c r="D128" t="s">
        <v>56</v>
      </c>
      <c r="E128" t="s">
        <v>62</v>
      </c>
      <c r="F128" t="s">
        <v>91</v>
      </c>
      <c r="G128" t="s">
        <v>45</v>
      </c>
      <c r="H128" t="s">
        <v>58</v>
      </c>
      <c r="I128" t="s">
        <v>53</v>
      </c>
      <c r="J128" t="s">
        <v>27</v>
      </c>
      <c r="K128">
        <v>23</v>
      </c>
      <c r="L128">
        <v>92.78</v>
      </c>
      <c r="M128">
        <v>10</v>
      </c>
      <c r="O128" t="s">
        <v>59</v>
      </c>
      <c r="P128" t="s">
        <v>64</v>
      </c>
      <c r="Q128" t="s">
        <v>76</v>
      </c>
      <c r="S128">
        <v>3</v>
      </c>
      <c r="T128" t="s">
        <v>49</v>
      </c>
    </row>
    <row r="129" spans="1:20">
      <c r="A129">
        <v>128</v>
      </c>
      <c r="B129" s="14">
        <v>45728</v>
      </c>
      <c r="C129" t="s">
        <v>20</v>
      </c>
      <c r="D129" t="s">
        <v>34</v>
      </c>
      <c r="E129" t="s">
        <v>22</v>
      </c>
      <c r="F129" t="s">
        <v>36</v>
      </c>
      <c r="G129" t="s">
        <v>24</v>
      </c>
      <c r="H129" t="s">
        <v>25</v>
      </c>
      <c r="I129" t="s">
        <v>74</v>
      </c>
      <c r="J129" t="s">
        <v>39</v>
      </c>
      <c r="K129">
        <v>41</v>
      </c>
      <c r="L129">
        <v>27.12</v>
      </c>
      <c r="M129">
        <v>0</v>
      </c>
      <c r="O129" t="s">
        <v>59</v>
      </c>
      <c r="P129" t="s">
        <v>75</v>
      </c>
      <c r="Q129" t="s">
        <v>65</v>
      </c>
      <c r="R129" t="s">
        <v>31</v>
      </c>
      <c r="T129" t="s">
        <v>32</v>
      </c>
    </row>
    <row r="130" spans="1:20">
      <c r="A130">
        <v>129</v>
      </c>
      <c r="B130" s="14">
        <v>45660</v>
      </c>
      <c r="C130" t="s">
        <v>33</v>
      </c>
      <c r="D130" t="s">
        <v>66</v>
      </c>
      <c r="E130" t="s">
        <v>97</v>
      </c>
      <c r="G130" t="s">
        <v>81</v>
      </c>
      <c r="H130" t="s">
        <v>73</v>
      </c>
      <c r="I130" t="s">
        <v>26</v>
      </c>
      <c r="J130" t="s">
        <v>48</v>
      </c>
      <c r="K130">
        <v>21</v>
      </c>
      <c r="L130">
        <v>32.11</v>
      </c>
      <c r="M130">
        <v>0</v>
      </c>
      <c r="O130" t="s">
        <v>28</v>
      </c>
      <c r="P130" t="s">
        <v>64</v>
      </c>
      <c r="Q130" t="s">
        <v>30</v>
      </c>
      <c r="R130" t="s">
        <v>31</v>
      </c>
      <c r="S130">
        <v>4</v>
      </c>
      <c r="T130" t="s">
        <v>32</v>
      </c>
    </row>
    <row r="131" spans="1:19">
      <c r="A131">
        <v>130</v>
      </c>
      <c r="B131" s="14">
        <v>45676</v>
      </c>
      <c r="C131" t="s">
        <v>77</v>
      </c>
      <c r="D131" t="s">
        <v>83</v>
      </c>
      <c r="E131" t="s">
        <v>105</v>
      </c>
      <c r="F131" t="s">
        <v>91</v>
      </c>
      <c r="H131" t="s">
        <v>46</v>
      </c>
      <c r="I131" t="s">
        <v>74</v>
      </c>
      <c r="J131" t="s">
        <v>27</v>
      </c>
      <c r="K131">
        <v>20</v>
      </c>
      <c r="L131">
        <v>58.96</v>
      </c>
      <c r="M131">
        <v>0</v>
      </c>
      <c r="O131" t="s">
        <v>54</v>
      </c>
      <c r="P131" t="s">
        <v>75</v>
      </c>
      <c r="Q131" t="s">
        <v>65</v>
      </c>
      <c r="S131">
        <v>5</v>
      </c>
    </row>
    <row r="132" spans="1:20">
      <c r="A132">
        <v>131</v>
      </c>
      <c r="B132" s="14">
        <v>45726</v>
      </c>
      <c r="C132" t="s">
        <v>77</v>
      </c>
      <c r="D132" t="s">
        <v>34</v>
      </c>
      <c r="E132" t="s">
        <v>93</v>
      </c>
      <c r="F132" t="s">
        <v>23</v>
      </c>
      <c r="G132" t="s">
        <v>24</v>
      </c>
      <c r="H132" t="s">
        <v>58</v>
      </c>
      <c r="I132" t="s">
        <v>53</v>
      </c>
      <c r="J132" t="s">
        <v>39</v>
      </c>
      <c r="K132">
        <v>47</v>
      </c>
      <c r="L132">
        <v>48.6</v>
      </c>
      <c r="M132">
        <v>10</v>
      </c>
      <c r="O132" t="s">
        <v>40</v>
      </c>
      <c r="P132" t="s">
        <v>71</v>
      </c>
      <c r="Q132" t="s">
        <v>41</v>
      </c>
      <c r="R132" t="s">
        <v>42</v>
      </c>
      <c r="S132">
        <v>5</v>
      </c>
      <c r="T132" t="s">
        <v>32</v>
      </c>
    </row>
    <row r="133" spans="1:20">
      <c r="A133">
        <v>132</v>
      </c>
      <c r="B133" s="14">
        <v>45747</v>
      </c>
      <c r="C133" t="s">
        <v>33</v>
      </c>
      <c r="D133" t="s">
        <v>61</v>
      </c>
      <c r="E133" t="s">
        <v>104</v>
      </c>
      <c r="F133" t="s">
        <v>70</v>
      </c>
      <c r="G133" t="s">
        <v>81</v>
      </c>
      <c r="H133" t="s">
        <v>37</v>
      </c>
      <c r="I133" t="s">
        <v>53</v>
      </c>
      <c r="J133" t="s">
        <v>27</v>
      </c>
      <c r="K133">
        <v>26</v>
      </c>
      <c r="L133">
        <v>68.58</v>
      </c>
      <c r="M133">
        <v>5</v>
      </c>
      <c r="O133" t="s">
        <v>40</v>
      </c>
      <c r="P133" t="s">
        <v>29</v>
      </c>
      <c r="Q133" t="s">
        <v>41</v>
      </c>
      <c r="R133" t="s">
        <v>31</v>
      </c>
      <c r="S133">
        <v>1</v>
      </c>
      <c r="T133" t="s">
        <v>49</v>
      </c>
    </row>
    <row r="134" spans="1:19">
      <c r="A134">
        <v>133</v>
      </c>
      <c r="B134" s="14">
        <v>45854</v>
      </c>
      <c r="C134" t="s">
        <v>50</v>
      </c>
      <c r="D134" t="s">
        <v>83</v>
      </c>
      <c r="E134" t="s">
        <v>79</v>
      </c>
      <c r="F134" t="s">
        <v>23</v>
      </c>
      <c r="G134" t="s">
        <v>45</v>
      </c>
      <c r="H134" t="s">
        <v>46</v>
      </c>
      <c r="I134" t="s">
        <v>47</v>
      </c>
      <c r="J134" t="s">
        <v>27</v>
      </c>
      <c r="K134">
        <v>17</v>
      </c>
      <c r="L134">
        <v>67.1</v>
      </c>
      <c r="M134">
        <v>5</v>
      </c>
      <c r="O134" t="s">
        <v>28</v>
      </c>
      <c r="P134" t="s">
        <v>71</v>
      </c>
      <c r="Q134" t="s">
        <v>65</v>
      </c>
      <c r="R134" t="s">
        <v>42</v>
      </c>
      <c r="S134">
        <v>2</v>
      </c>
    </row>
    <row r="135" spans="1:20">
      <c r="A135">
        <v>134</v>
      </c>
      <c r="B135" s="14">
        <v>46009</v>
      </c>
      <c r="C135" t="s">
        <v>33</v>
      </c>
      <c r="D135" t="s">
        <v>51</v>
      </c>
      <c r="E135" t="s">
        <v>62</v>
      </c>
      <c r="F135" t="s">
        <v>23</v>
      </c>
      <c r="H135" t="s">
        <v>58</v>
      </c>
      <c r="I135" t="s">
        <v>53</v>
      </c>
      <c r="J135" t="s">
        <v>48</v>
      </c>
      <c r="K135">
        <v>40</v>
      </c>
      <c r="L135">
        <v>25.98</v>
      </c>
      <c r="M135">
        <v>5</v>
      </c>
      <c r="O135" t="s">
        <v>59</v>
      </c>
      <c r="P135" t="s">
        <v>64</v>
      </c>
      <c r="Q135" t="s">
        <v>65</v>
      </c>
      <c r="S135">
        <v>5</v>
      </c>
      <c r="T135" t="s">
        <v>49</v>
      </c>
    </row>
    <row r="136" spans="1:20">
      <c r="A136">
        <v>135</v>
      </c>
      <c r="B136" s="14">
        <v>45870</v>
      </c>
      <c r="C136" t="s">
        <v>55</v>
      </c>
      <c r="D136" t="s">
        <v>34</v>
      </c>
      <c r="E136" t="s">
        <v>115</v>
      </c>
      <c r="F136" t="s">
        <v>36</v>
      </c>
      <c r="H136" t="s">
        <v>25</v>
      </c>
      <c r="I136" t="s">
        <v>26</v>
      </c>
      <c r="J136" t="s">
        <v>27</v>
      </c>
      <c r="K136">
        <v>34</v>
      </c>
      <c r="L136">
        <v>47.44</v>
      </c>
      <c r="M136">
        <v>10</v>
      </c>
      <c r="O136" t="s">
        <v>28</v>
      </c>
      <c r="P136" t="s">
        <v>71</v>
      </c>
      <c r="Q136" t="s">
        <v>30</v>
      </c>
      <c r="S136">
        <v>5</v>
      </c>
      <c r="T136" t="s">
        <v>32</v>
      </c>
    </row>
    <row r="137" spans="1:19">
      <c r="A137">
        <v>136</v>
      </c>
      <c r="B137" s="14">
        <v>45951</v>
      </c>
      <c r="C137" t="s">
        <v>33</v>
      </c>
      <c r="D137" t="s">
        <v>66</v>
      </c>
      <c r="E137" t="s">
        <v>120</v>
      </c>
      <c r="F137" t="s">
        <v>23</v>
      </c>
      <c r="G137" t="s">
        <v>68</v>
      </c>
      <c r="H137" t="s">
        <v>73</v>
      </c>
      <c r="I137" t="s">
        <v>74</v>
      </c>
      <c r="J137" t="s">
        <v>39</v>
      </c>
      <c r="K137">
        <v>46</v>
      </c>
      <c r="L137">
        <v>60.4</v>
      </c>
      <c r="M137">
        <v>0</v>
      </c>
      <c r="O137" t="s">
        <v>59</v>
      </c>
      <c r="P137" t="s">
        <v>71</v>
      </c>
      <c r="Q137" t="s">
        <v>65</v>
      </c>
      <c r="R137" t="s">
        <v>31</v>
      </c>
      <c r="S137">
        <v>5</v>
      </c>
    </row>
    <row r="138" spans="1:18">
      <c r="A138">
        <v>137</v>
      </c>
      <c r="B138" s="14">
        <v>45891</v>
      </c>
      <c r="C138" t="s">
        <v>33</v>
      </c>
      <c r="D138" t="s">
        <v>21</v>
      </c>
      <c r="E138" t="s">
        <v>96</v>
      </c>
      <c r="F138" t="s">
        <v>70</v>
      </c>
      <c r="H138" t="s">
        <v>46</v>
      </c>
      <c r="I138" t="s">
        <v>74</v>
      </c>
      <c r="J138" t="s">
        <v>63</v>
      </c>
      <c r="K138">
        <v>17</v>
      </c>
      <c r="L138">
        <v>82.56</v>
      </c>
      <c r="M138">
        <v>5</v>
      </c>
      <c r="O138" t="s">
        <v>28</v>
      </c>
      <c r="P138" t="s">
        <v>71</v>
      </c>
      <c r="Q138" t="s">
        <v>65</v>
      </c>
      <c r="R138" t="s">
        <v>42</v>
      </c>
    </row>
    <row r="139" spans="1:19">
      <c r="A139">
        <v>138</v>
      </c>
      <c r="B139" s="14">
        <v>45935</v>
      </c>
      <c r="C139" t="s">
        <v>20</v>
      </c>
      <c r="D139" t="s">
        <v>21</v>
      </c>
      <c r="E139" t="s">
        <v>115</v>
      </c>
      <c r="F139" t="s">
        <v>44</v>
      </c>
      <c r="G139" t="s">
        <v>45</v>
      </c>
      <c r="H139" t="s">
        <v>73</v>
      </c>
      <c r="I139" t="s">
        <v>26</v>
      </c>
      <c r="J139" t="s">
        <v>39</v>
      </c>
      <c r="K139">
        <v>50</v>
      </c>
      <c r="L139">
        <v>65.94</v>
      </c>
      <c r="M139">
        <v>15</v>
      </c>
      <c r="O139" t="s">
        <v>54</v>
      </c>
      <c r="P139" t="s">
        <v>29</v>
      </c>
      <c r="Q139" t="s">
        <v>65</v>
      </c>
      <c r="R139" t="s">
        <v>42</v>
      </c>
      <c r="S139">
        <v>4</v>
      </c>
    </row>
    <row r="140" spans="1:19">
      <c r="A140">
        <v>139</v>
      </c>
      <c r="B140" s="14">
        <v>46007</v>
      </c>
      <c r="C140" t="s">
        <v>55</v>
      </c>
      <c r="D140" t="s">
        <v>61</v>
      </c>
      <c r="E140" t="s">
        <v>121</v>
      </c>
      <c r="F140" t="s">
        <v>91</v>
      </c>
      <c r="H140" t="s">
        <v>46</v>
      </c>
      <c r="I140" t="s">
        <v>74</v>
      </c>
      <c r="J140" t="s">
        <v>39</v>
      </c>
      <c r="K140">
        <v>35</v>
      </c>
      <c r="L140">
        <v>42.34</v>
      </c>
      <c r="M140">
        <v>5</v>
      </c>
      <c r="O140" t="s">
        <v>40</v>
      </c>
      <c r="P140" t="s">
        <v>71</v>
      </c>
      <c r="Q140" t="s">
        <v>30</v>
      </c>
      <c r="R140" t="s">
        <v>42</v>
      </c>
      <c r="S140">
        <v>4</v>
      </c>
    </row>
    <row r="141" spans="1:19">
      <c r="A141">
        <v>140</v>
      </c>
      <c r="B141" s="14">
        <v>45930</v>
      </c>
      <c r="C141" t="s">
        <v>85</v>
      </c>
      <c r="D141" t="s">
        <v>61</v>
      </c>
      <c r="E141" t="s">
        <v>107</v>
      </c>
      <c r="F141" t="s">
        <v>91</v>
      </c>
      <c r="G141" t="s">
        <v>81</v>
      </c>
      <c r="H141" t="s">
        <v>46</v>
      </c>
      <c r="I141" t="s">
        <v>26</v>
      </c>
      <c r="J141" t="s">
        <v>48</v>
      </c>
      <c r="K141">
        <v>13</v>
      </c>
      <c r="L141">
        <v>94.05</v>
      </c>
      <c r="M141">
        <v>0</v>
      </c>
      <c r="O141" t="s">
        <v>28</v>
      </c>
      <c r="P141" t="s">
        <v>29</v>
      </c>
      <c r="Q141" t="s">
        <v>30</v>
      </c>
      <c r="R141" t="s">
        <v>31</v>
      </c>
      <c r="S141">
        <v>2</v>
      </c>
    </row>
    <row r="142" spans="1:20">
      <c r="A142">
        <v>141</v>
      </c>
      <c r="B142" s="14">
        <v>45709</v>
      </c>
      <c r="C142" t="s">
        <v>33</v>
      </c>
      <c r="D142" t="s">
        <v>21</v>
      </c>
      <c r="E142" t="s">
        <v>80</v>
      </c>
      <c r="F142" t="s">
        <v>36</v>
      </c>
      <c r="H142" t="s">
        <v>58</v>
      </c>
      <c r="I142" t="s">
        <v>26</v>
      </c>
      <c r="J142" t="s">
        <v>27</v>
      </c>
      <c r="K142">
        <v>26</v>
      </c>
      <c r="L142">
        <v>46.7</v>
      </c>
      <c r="O142" t="s">
        <v>40</v>
      </c>
      <c r="P142" t="s">
        <v>71</v>
      </c>
      <c r="Q142" t="s">
        <v>76</v>
      </c>
      <c r="S142">
        <v>3</v>
      </c>
      <c r="T142" t="s">
        <v>32</v>
      </c>
    </row>
    <row r="143" spans="1:20">
      <c r="A143">
        <v>142</v>
      </c>
      <c r="B143" s="14">
        <v>45952</v>
      </c>
      <c r="C143" t="s">
        <v>60</v>
      </c>
      <c r="D143" t="s">
        <v>34</v>
      </c>
      <c r="E143" t="s">
        <v>95</v>
      </c>
      <c r="G143" t="s">
        <v>45</v>
      </c>
      <c r="H143" t="s">
        <v>25</v>
      </c>
      <c r="I143" t="s">
        <v>53</v>
      </c>
      <c r="J143" t="s">
        <v>39</v>
      </c>
      <c r="K143">
        <v>43</v>
      </c>
      <c r="L143">
        <v>54.52</v>
      </c>
      <c r="M143">
        <v>15</v>
      </c>
      <c r="O143" t="s">
        <v>54</v>
      </c>
      <c r="P143" t="s">
        <v>75</v>
      </c>
      <c r="Q143" t="s">
        <v>30</v>
      </c>
      <c r="S143">
        <v>5</v>
      </c>
      <c r="T143" t="s">
        <v>32</v>
      </c>
    </row>
    <row r="144" spans="1:20">
      <c r="A144">
        <v>143</v>
      </c>
      <c r="B144" s="14">
        <v>45978</v>
      </c>
      <c r="C144" t="s">
        <v>55</v>
      </c>
      <c r="D144" t="s">
        <v>83</v>
      </c>
      <c r="E144" t="s">
        <v>96</v>
      </c>
      <c r="F144" t="s">
        <v>70</v>
      </c>
      <c r="G144" t="s">
        <v>88</v>
      </c>
      <c r="H144" t="s">
        <v>46</v>
      </c>
      <c r="I144" t="s">
        <v>38</v>
      </c>
      <c r="J144" t="s">
        <v>48</v>
      </c>
      <c r="K144">
        <v>45</v>
      </c>
      <c r="L144">
        <v>44.55</v>
      </c>
      <c r="M144">
        <v>5</v>
      </c>
      <c r="O144" t="s">
        <v>54</v>
      </c>
      <c r="P144" t="s">
        <v>29</v>
      </c>
      <c r="Q144" t="s">
        <v>76</v>
      </c>
      <c r="S144">
        <v>4</v>
      </c>
      <c r="T144" t="s">
        <v>32</v>
      </c>
    </row>
    <row r="145" spans="1:19">
      <c r="A145">
        <v>144</v>
      </c>
      <c r="B145" s="14">
        <v>45773</v>
      </c>
      <c r="C145" t="s">
        <v>60</v>
      </c>
      <c r="D145" t="s">
        <v>61</v>
      </c>
      <c r="E145" t="s">
        <v>102</v>
      </c>
      <c r="F145" t="s">
        <v>91</v>
      </c>
      <c r="G145" t="s">
        <v>81</v>
      </c>
      <c r="H145" t="s">
        <v>58</v>
      </c>
      <c r="I145" t="s">
        <v>47</v>
      </c>
      <c r="J145" t="s">
        <v>63</v>
      </c>
      <c r="K145">
        <v>27</v>
      </c>
      <c r="L145">
        <v>57.94</v>
      </c>
      <c r="M145">
        <v>5</v>
      </c>
      <c r="O145" t="s">
        <v>59</v>
      </c>
      <c r="P145" t="s">
        <v>64</v>
      </c>
      <c r="Q145" t="s">
        <v>41</v>
      </c>
      <c r="R145" t="s">
        <v>31</v>
      </c>
      <c r="S145">
        <v>3</v>
      </c>
    </row>
    <row r="146" spans="1:20">
      <c r="A146">
        <v>145</v>
      </c>
      <c r="B146" s="14">
        <v>45888</v>
      </c>
      <c r="C146" t="s">
        <v>77</v>
      </c>
      <c r="D146" t="s">
        <v>56</v>
      </c>
      <c r="E146" t="s">
        <v>122</v>
      </c>
      <c r="F146" t="s">
        <v>36</v>
      </c>
      <c r="H146" t="s">
        <v>25</v>
      </c>
      <c r="I146" t="s">
        <v>74</v>
      </c>
      <c r="J146" t="s">
        <v>48</v>
      </c>
      <c r="K146">
        <v>25</v>
      </c>
      <c r="L146">
        <v>69</v>
      </c>
      <c r="O146" t="s">
        <v>28</v>
      </c>
      <c r="P146" t="s">
        <v>71</v>
      </c>
      <c r="Q146" t="s">
        <v>76</v>
      </c>
      <c r="T146" t="s">
        <v>32</v>
      </c>
    </row>
    <row r="147" spans="1:20">
      <c r="A147">
        <v>146</v>
      </c>
      <c r="B147" s="14">
        <v>45903</v>
      </c>
      <c r="C147" t="s">
        <v>50</v>
      </c>
      <c r="D147" t="s">
        <v>61</v>
      </c>
      <c r="E147" t="s">
        <v>82</v>
      </c>
      <c r="F147" t="s">
        <v>23</v>
      </c>
      <c r="G147" t="s">
        <v>88</v>
      </c>
      <c r="H147" t="s">
        <v>25</v>
      </c>
      <c r="I147" t="s">
        <v>26</v>
      </c>
      <c r="J147" t="s">
        <v>27</v>
      </c>
      <c r="K147">
        <v>48</v>
      </c>
      <c r="L147">
        <v>99.96</v>
      </c>
      <c r="M147">
        <v>15</v>
      </c>
      <c r="O147" t="s">
        <v>40</v>
      </c>
      <c r="P147" t="s">
        <v>64</v>
      </c>
      <c r="Q147" t="s">
        <v>65</v>
      </c>
      <c r="R147" t="s">
        <v>31</v>
      </c>
      <c r="S147">
        <v>5</v>
      </c>
      <c r="T147" t="s">
        <v>49</v>
      </c>
    </row>
    <row r="148" spans="1:20">
      <c r="A148">
        <v>147</v>
      </c>
      <c r="B148" s="14">
        <v>45802</v>
      </c>
      <c r="C148" t="s">
        <v>85</v>
      </c>
      <c r="D148" t="s">
        <v>83</v>
      </c>
      <c r="E148" t="s">
        <v>121</v>
      </c>
      <c r="G148" t="s">
        <v>45</v>
      </c>
      <c r="H148" t="s">
        <v>46</v>
      </c>
      <c r="I148" t="s">
        <v>53</v>
      </c>
      <c r="J148" t="s">
        <v>48</v>
      </c>
      <c r="K148">
        <v>33</v>
      </c>
      <c r="L148">
        <v>88.87</v>
      </c>
      <c r="M148">
        <v>15</v>
      </c>
      <c r="O148" t="s">
        <v>28</v>
      </c>
      <c r="P148" t="s">
        <v>29</v>
      </c>
      <c r="Q148" t="s">
        <v>41</v>
      </c>
      <c r="R148" t="s">
        <v>31</v>
      </c>
      <c r="S148">
        <v>3</v>
      </c>
      <c r="T148" t="s">
        <v>49</v>
      </c>
    </row>
    <row r="149" spans="1:20">
      <c r="A149">
        <v>148</v>
      </c>
      <c r="B149" s="14">
        <v>45869</v>
      </c>
      <c r="C149" t="s">
        <v>20</v>
      </c>
      <c r="D149" t="s">
        <v>34</v>
      </c>
      <c r="E149" t="s">
        <v>107</v>
      </c>
      <c r="G149" t="s">
        <v>24</v>
      </c>
      <c r="H149" t="s">
        <v>58</v>
      </c>
      <c r="I149" t="s">
        <v>53</v>
      </c>
      <c r="J149" t="s">
        <v>63</v>
      </c>
      <c r="K149">
        <v>19</v>
      </c>
      <c r="L149">
        <v>19.48</v>
      </c>
      <c r="M149">
        <v>10</v>
      </c>
      <c r="O149" t="s">
        <v>40</v>
      </c>
      <c r="P149" t="s">
        <v>29</v>
      </c>
      <c r="Q149" t="s">
        <v>76</v>
      </c>
      <c r="R149" t="s">
        <v>42</v>
      </c>
      <c r="S149">
        <v>5</v>
      </c>
      <c r="T149" t="s">
        <v>49</v>
      </c>
    </row>
    <row r="150" spans="1:17">
      <c r="A150">
        <v>149</v>
      </c>
      <c r="B150" s="14">
        <v>45789</v>
      </c>
      <c r="C150" t="s">
        <v>77</v>
      </c>
      <c r="D150" t="s">
        <v>61</v>
      </c>
      <c r="E150" t="s">
        <v>105</v>
      </c>
      <c r="H150" t="s">
        <v>73</v>
      </c>
      <c r="I150" t="s">
        <v>38</v>
      </c>
      <c r="J150" t="s">
        <v>39</v>
      </c>
      <c r="K150">
        <v>47</v>
      </c>
      <c r="L150">
        <v>80.52</v>
      </c>
      <c r="M150">
        <v>5</v>
      </c>
      <c r="O150" t="s">
        <v>40</v>
      </c>
      <c r="P150" t="s">
        <v>29</v>
      </c>
      <c r="Q150" t="s">
        <v>76</v>
      </c>
    </row>
    <row r="151" spans="1:19">
      <c r="A151">
        <v>150</v>
      </c>
      <c r="B151" s="14">
        <v>45926</v>
      </c>
      <c r="C151" t="s">
        <v>20</v>
      </c>
      <c r="D151" t="s">
        <v>61</v>
      </c>
      <c r="E151" t="s">
        <v>52</v>
      </c>
      <c r="G151" t="s">
        <v>88</v>
      </c>
      <c r="H151" t="s">
        <v>58</v>
      </c>
      <c r="I151" t="s">
        <v>38</v>
      </c>
      <c r="J151" t="s">
        <v>39</v>
      </c>
      <c r="K151">
        <v>41</v>
      </c>
      <c r="L151">
        <v>26.99</v>
      </c>
      <c r="M151">
        <v>5</v>
      </c>
      <c r="O151" t="s">
        <v>28</v>
      </c>
      <c r="P151" t="s">
        <v>64</v>
      </c>
      <c r="Q151" t="s">
        <v>65</v>
      </c>
      <c r="R151" t="s">
        <v>42</v>
      </c>
      <c r="S151">
        <v>1</v>
      </c>
    </row>
    <row r="152" spans="1:19">
      <c r="A152">
        <v>151</v>
      </c>
      <c r="B152" s="14">
        <v>45995</v>
      </c>
      <c r="C152" t="s">
        <v>85</v>
      </c>
      <c r="D152" t="s">
        <v>21</v>
      </c>
      <c r="E152" t="s">
        <v>78</v>
      </c>
      <c r="F152" t="s">
        <v>36</v>
      </c>
      <c r="G152" t="s">
        <v>68</v>
      </c>
      <c r="H152" t="s">
        <v>73</v>
      </c>
      <c r="I152" t="s">
        <v>74</v>
      </c>
      <c r="J152" t="s">
        <v>27</v>
      </c>
      <c r="K152">
        <v>34</v>
      </c>
      <c r="L152">
        <v>73.61</v>
      </c>
      <c r="O152" t="s">
        <v>54</v>
      </c>
      <c r="P152" t="s">
        <v>71</v>
      </c>
      <c r="Q152" t="s">
        <v>65</v>
      </c>
      <c r="R152" t="s">
        <v>31</v>
      </c>
      <c r="S152">
        <v>1</v>
      </c>
    </row>
    <row r="153" spans="1:18">
      <c r="A153">
        <v>152</v>
      </c>
      <c r="B153" s="14">
        <v>45926</v>
      </c>
      <c r="C153" t="s">
        <v>50</v>
      </c>
      <c r="D153" t="s">
        <v>66</v>
      </c>
      <c r="E153" t="s">
        <v>101</v>
      </c>
      <c r="F153" t="s">
        <v>36</v>
      </c>
      <c r="G153" t="s">
        <v>68</v>
      </c>
      <c r="H153" t="s">
        <v>46</v>
      </c>
      <c r="I153" t="s">
        <v>53</v>
      </c>
      <c r="J153" t="s">
        <v>48</v>
      </c>
      <c r="K153">
        <v>26</v>
      </c>
      <c r="L153">
        <v>12.51</v>
      </c>
      <c r="M153">
        <v>15</v>
      </c>
      <c r="O153" t="s">
        <v>59</v>
      </c>
      <c r="P153" t="s">
        <v>64</v>
      </c>
      <c r="Q153" t="s">
        <v>76</v>
      </c>
      <c r="R153" t="s">
        <v>42</v>
      </c>
    </row>
    <row r="154" spans="1:20">
      <c r="A154">
        <v>153</v>
      </c>
      <c r="B154" s="14">
        <v>45992</v>
      </c>
      <c r="C154" t="s">
        <v>77</v>
      </c>
      <c r="D154" t="s">
        <v>51</v>
      </c>
      <c r="E154" t="s">
        <v>79</v>
      </c>
      <c r="F154" t="s">
        <v>44</v>
      </c>
      <c r="G154" t="s">
        <v>88</v>
      </c>
      <c r="H154" t="s">
        <v>73</v>
      </c>
      <c r="I154" t="s">
        <v>38</v>
      </c>
      <c r="J154" t="s">
        <v>63</v>
      </c>
      <c r="K154">
        <v>36</v>
      </c>
      <c r="L154">
        <v>50.22</v>
      </c>
      <c r="M154">
        <v>0</v>
      </c>
      <c r="O154" t="s">
        <v>40</v>
      </c>
      <c r="P154" t="s">
        <v>71</v>
      </c>
      <c r="Q154" t="s">
        <v>65</v>
      </c>
      <c r="R154" t="s">
        <v>42</v>
      </c>
      <c r="T154" t="s">
        <v>49</v>
      </c>
    </row>
    <row r="155" spans="1:20">
      <c r="A155">
        <v>154</v>
      </c>
      <c r="B155" s="14">
        <v>45947</v>
      </c>
      <c r="C155" t="s">
        <v>77</v>
      </c>
      <c r="D155" t="s">
        <v>21</v>
      </c>
      <c r="E155" t="s">
        <v>99</v>
      </c>
      <c r="F155" t="s">
        <v>44</v>
      </c>
      <c r="G155" t="s">
        <v>24</v>
      </c>
      <c r="H155" t="s">
        <v>25</v>
      </c>
      <c r="I155" t="s">
        <v>47</v>
      </c>
      <c r="J155" t="s">
        <v>63</v>
      </c>
      <c r="K155">
        <v>18</v>
      </c>
      <c r="L155">
        <v>9.42</v>
      </c>
      <c r="M155">
        <v>0</v>
      </c>
      <c r="O155" t="s">
        <v>54</v>
      </c>
      <c r="P155" t="s">
        <v>71</v>
      </c>
      <c r="Q155" t="s">
        <v>76</v>
      </c>
      <c r="R155" t="s">
        <v>42</v>
      </c>
      <c r="S155">
        <v>1</v>
      </c>
      <c r="T155" t="s">
        <v>32</v>
      </c>
    </row>
    <row r="156" spans="1:17">
      <c r="A156">
        <v>155</v>
      </c>
      <c r="B156" s="14">
        <v>45958</v>
      </c>
      <c r="C156" t="s">
        <v>50</v>
      </c>
      <c r="D156" t="s">
        <v>61</v>
      </c>
      <c r="E156" t="s">
        <v>102</v>
      </c>
      <c r="F156" t="s">
        <v>70</v>
      </c>
      <c r="G156" t="s">
        <v>88</v>
      </c>
      <c r="H156" t="s">
        <v>46</v>
      </c>
      <c r="I156" t="s">
        <v>26</v>
      </c>
      <c r="J156" t="s">
        <v>39</v>
      </c>
      <c r="K156">
        <v>37</v>
      </c>
      <c r="L156">
        <v>84.29</v>
      </c>
      <c r="M156">
        <v>15</v>
      </c>
      <c r="O156" t="s">
        <v>54</v>
      </c>
      <c r="P156" t="s">
        <v>29</v>
      </c>
      <c r="Q156" t="s">
        <v>76</v>
      </c>
    </row>
    <row r="157" spans="1:19">
      <c r="A157">
        <v>156</v>
      </c>
      <c r="B157" s="14">
        <v>45914</v>
      </c>
      <c r="C157" t="s">
        <v>55</v>
      </c>
      <c r="D157" t="s">
        <v>56</v>
      </c>
      <c r="E157" t="s">
        <v>117</v>
      </c>
      <c r="F157" t="s">
        <v>44</v>
      </c>
      <c r="G157" t="s">
        <v>81</v>
      </c>
      <c r="H157" t="s">
        <v>25</v>
      </c>
      <c r="I157" t="s">
        <v>74</v>
      </c>
      <c r="J157" t="s">
        <v>48</v>
      </c>
      <c r="K157">
        <v>39</v>
      </c>
      <c r="L157">
        <v>78.06</v>
      </c>
      <c r="O157" t="s">
        <v>59</v>
      </c>
      <c r="P157" t="s">
        <v>75</v>
      </c>
      <c r="Q157" t="s">
        <v>30</v>
      </c>
      <c r="S157">
        <v>3</v>
      </c>
    </row>
    <row r="158" spans="1:19">
      <c r="A158">
        <v>157</v>
      </c>
      <c r="B158" s="14">
        <v>45909</v>
      </c>
      <c r="C158" t="s">
        <v>50</v>
      </c>
      <c r="D158" t="s">
        <v>56</v>
      </c>
      <c r="E158" t="s">
        <v>96</v>
      </c>
      <c r="F158" t="s">
        <v>70</v>
      </c>
      <c r="G158" t="s">
        <v>81</v>
      </c>
      <c r="H158" t="s">
        <v>25</v>
      </c>
      <c r="I158" t="s">
        <v>47</v>
      </c>
      <c r="J158" t="s">
        <v>63</v>
      </c>
      <c r="K158">
        <v>6</v>
      </c>
      <c r="L158">
        <v>78.36</v>
      </c>
      <c r="M158">
        <v>10</v>
      </c>
      <c r="O158" t="s">
        <v>40</v>
      </c>
      <c r="P158" t="s">
        <v>71</v>
      </c>
      <c r="Q158" t="s">
        <v>30</v>
      </c>
      <c r="R158" t="s">
        <v>42</v>
      </c>
      <c r="S158">
        <v>2</v>
      </c>
    </row>
    <row r="159" spans="1:19">
      <c r="A159">
        <v>158</v>
      </c>
      <c r="B159" s="14">
        <v>46022</v>
      </c>
      <c r="C159" t="s">
        <v>77</v>
      </c>
      <c r="D159" t="s">
        <v>51</v>
      </c>
      <c r="E159" t="s">
        <v>90</v>
      </c>
      <c r="G159" t="s">
        <v>81</v>
      </c>
      <c r="H159" t="s">
        <v>46</v>
      </c>
      <c r="I159" t="s">
        <v>53</v>
      </c>
      <c r="J159" t="s">
        <v>27</v>
      </c>
      <c r="K159">
        <v>6</v>
      </c>
      <c r="L159">
        <v>5.49</v>
      </c>
      <c r="M159">
        <v>10</v>
      </c>
      <c r="O159" t="s">
        <v>59</v>
      </c>
      <c r="P159" t="s">
        <v>75</v>
      </c>
      <c r="Q159" t="s">
        <v>41</v>
      </c>
      <c r="R159" t="s">
        <v>31</v>
      </c>
      <c r="S159">
        <v>2</v>
      </c>
    </row>
    <row r="160" spans="1:19">
      <c r="A160">
        <v>159</v>
      </c>
      <c r="B160" s="14">
        <v>45753</v>
      </c>
      <c r="C160" t="s">
        <v>85</v>
      </c>
      <c r="D160" t="s">
        <v>83</v>
      </c>
      <c r="E160" t="s">
        <v>96</v>
      </c>
      <c r="F160" t="s">
        <v>36</v>
      </c>
      <c r="G160" t="s">
        <v>68</v>
      </c>
      <c r="H160" t="s">
        <v>73</v>
      </c>
      <c r="I160" t="s">
        <v>74</v>
      </c>
      <c r="J160" t="s">
        <v>27</v>
      </c>
      <c r="K160">
        <v>6</v>
      </c>
      <c r="L160">
        <v>38.62</v>
      </c>
      <c r="M160">
        <v>0</v>
      </c>
      <c r="O160" t="s">
        <v>54</v>
      </c>
      <c r="P160" t="s">
        <v>29</v>
      </c>
      <c r="Q160" t="s">
        <v>30</v>
      </c>
      <c r="R160" t="s">
        <v>42</v>
      </c>
      <c r="S160">
        <v>4</v>
      </c>
    </row>
    <row r="161" spans="1:20">
      <c r="A161">
        <v>160</v>
      </c>
      <c r="B161" s="14">
        <v>45701</v>
      </c>
      <c r="C161" t="s">
        <v>55</v>
      </c>
      <c r="D161" t="s">
        <v>34</v>
      </c>
      <c r="E161" t="s">
        <v>67</v>
      </c>
      <c r="F161" t="s">
        <v>36</v>
      </c>
      <c r="G161" t="s">
        <v>68</v>
      </c>
      <c r="H161" t="s">
        <v>25</v>
      </c>
      <c r="I161" t="s">
        <v>38</v>
      </c>
      <c r="J161" t="s">
        <v>39</v>
      </c>
      <c r="K161">
        <v>9</v>
      </c>
      <c r="L161">
        <v>30.55</v>
      </c>
      <c r="M161">
        <v>10</v>
      </c>
      <c r="O161" t="s">
        <v>59</v>
      </c>
      <c r="P161" t="s">
        <v>64</v>
      </c>
      <c r="Q161" t="s">
        <v>30</v>
      </c>
      <c r="R161" t="s">
        <v>31</v>
      </c>
      <c r="S161">
        <v>4</v>
      </c>
      <c r="T161" t="s">
        <v>49</v>
      </c>
    </row>
    <row r="162" spans="1:20">
      <c r="A162">
        <v>161</v>
      </c>
      <c r="B162" s="14">
        <v>45873</v>
      </c>
      <c r="C162" t="s">
        <v>60</v>
      </c>
      <c r="D162" t="s">
        <v>83</v>
      </c>
      <c r="E162" t="s">
        <v>52</v>
      </c>
      <c r="F162" t="s">
        <v>23</v>
      </c>
      <c r="G162" t="s">
        <v>45</v>
      </c>
      <c r="H162" t="s">
        <v>25</v>
      </c>
      <c r="I162" t="s">
        <v>38</v>
      </c>
      <c r="J162" t="s">
        <v>39</v>
      </c>
      <c r="K162">
        <v>30</v>
      </c>
      <c r="L162">
        <v>15.16</v>
      </c>
      <c r="M162">
        <v>10</v>
      </c>
      <c r="O162" t="s">
        <v>28</v>
      </c>
      <c r="P162" t="s">
        <v>29</v>
      </c>
      <c r="Q162" t="s">
        <v>41</v>
      </c>
      <c r="S162">
        <v>4</v>
      </c>
      <c r="T162" t="s">
        <v>49</v>
      </c>
    </row>
    <row r="163" spans="1:20">
      <c r="A163">
        <v>162</v>
      </c>
      <c r="B163" s="14">
        <v>45883</v>
      </c>
      <c r="C163" t="s">
        <v>60</v>
      </c>
      <c r="D163" t="s">
        <v>83</v>
      </c>
      <c r="E163" t="s">
        <v>109</v>
      </c>
      <c r="F163" t="s">
        <v>36</v>
      </c>
      <c r="G163" t="s">
        <v>24</v>
      </c>
      <c r="H163" t="s">
        <v>46</v>
      </c>
      <c r="I163" t="s">
        <v>53</v>
      </c>
      <c r="J163" t="s">
        <v>39</v>
      </c>
      <c r="K163">
        <v>31</v>
      </c>
      <c r="L163">
        <v>34.85</v>
      </c>
      <c r="M163">
        <v>15</v>
      </c>
      <c r="O163" t="s">
        <v>54</v>
      </c>
      <c r="P163" t="s">
        <v>75</v>
      </c>
      <c r="Q163" t="s">
        <v>65</v>
      </c>
      <c r="S163">
        <v>2</v>
      </c>
      <c r="T163" t="s">
        <v>49</v>
      </c>
    </row>
    <row r="164" spans="1:18">
      <c r="A164">
        <v>163</v>
      </c>
      <c r="B164" s="14">
        <v>45850</v>
      </c>
      <c r="C164" t="s">
        <v>60</v>
      </c>
      <c r="D164" t="s">
        <v>61</v>
      </c>
      <c r="E164" t="s">
        <v>87</v>
      </c>
      <c r="F164" t="s">
        <v>23</v>
      </c>
      <c r="G164" t="s">
        <v>88</v>
      </c>
      <c r="H164" t="s">
        <v>37</v>
      </c>
      <c r="I164" t="s">
        <v>26</v>
      </c>
      <c r="J164" t="s">
        <v>39</v>
      </c>
      <c r="K164">
        <v>44</v>
      </c>
      <c r="L164">
        <v>77.92</v>
      </c>
      <c r="M164">
        <v>0</v>
      </c>
      <c r="O164" t="s">
        <v>59</v>
      </c>
      <c r="P164" t="s">
        <v>64</v>
      </c>
      <c r="Q164" t="s">
        <v>65</v>
      </c>
      <c r="R164" t="s">
        <v>42</v>
      </c>
    </row>
    <row r="165" spans="1:19">
      <c r="A165">
        <v>164</v>
      </c>
      <c r="B165" s="14">
        <v>45867</v>
      </c>
      <c r="C165" t="s">
        <v>55</v>
      </c>
      <c r="D165" t="s">
        <v>83</v>
      </c>
      <c r="E165" t="s">
        <v>89</v>
      </c>
      <c r="G165" t="s">
        <v>45</v>
      </c>
      <c r="H165" t="s">
        <v>25</v>
      </c>
      <c r="I165" t="s">
        <v>53</v>
      </c>
      <c r="J165" t="s">
        <v>39</v>
      </c>
      <c r="K165">
        <v>46</v>
      </c>
      <c r="L165">
        <v>45.2</v>
      </c>
      <c r="M165">
        <v>15</v>
      </c>
      <c r="O165" t="s">
        <v>28</v>
      </c>
      <c r="P165" t="s">
        <v>29</v>
      </c>
      <c r="Q165" t="s">
        <v>65</v>
      </c>
      <c r="S165">
        <v>4</v>
      </c>
    </row>
    <row r="166" spans="1:19">
      <c r="A166">
        <v>165</v>
      </c>
      <c r="B166" s="14">
        <v>45936</v>
      </c>
      <c r="C166" t="s">
        <v>20</v>
      </c>
      <c r="D166" t="s">
        <v>61</v>
      </c>
      <c r="E166" t="s">
        <v>116</v>
      </c>
      <c r="G166" t="s">
        <v>68</v>
      </c>
      <c r="H166" t="s">
        <v>37</v>
      </c>
      <c r="I166" t="s">
        <v>74</v>
      </c>
      <c r="J166" t="s">
        <v>27</v>
      </c>
      <c r="K166">
        <v>50</v>
      </c>
      <c r="L166">
        <v>28.58</v>
      </c>
      <c r="M166">
        <v>10</v>
      </c>
      <c r="O166" t="s">
        <v>40</v>
      </c>
      <c r="P166" t="s">
        <v>71</v>
      </c>
      <c r="Q166" t="s">
        <v>65</v>
      </c>
      <c r="R166" t="s">
        <v>42</v>
      </c>
      <c r="S166">
        <v>4</v>
      </c>
    </row>
    <row r="167" spans="1:20">
      <c r="A167">
        <v>166</v>
      </c>
      <c r="B167" s="14">
        <v>45663</v>
      </c>
      <c r="C167" t="s">
        <v>20</v>
      </c>
      <c r="D167" t="s">
        <v>56</v>
      </c>
      <c r="E167" t="s">
        <v>107</v>
      </c>
      <c r="F167" t="s">
        <v>36</v>
      </c>
      <c r="H167" t="s">
        <v>37</v>
      </c>
      <c r="I167" t="s">
        <v>47</v>
      </c>
      <c r="J167" t="s">
        <v>39</v>
      </c>
      <c r="K167">
        <v>29</v>
      </c>
      <c r="L167">
        <v>40.54</v>
      </c>
      <c r="M167">
        <v>15</v>
      </c>
      <c r="O167" t="s">
        <v>40</v>
      </c>
      <c r="P167" t="s">
        <v>75</v>
      </c>
      <c r="Q167" t="s">
        <v>30</v>
      </c>
      <c r="R167" t="s">
        <v>42</v>
      </c>
      <c r="S167">
        <v>1</v>
      </c>
      <c r="T167" t="s">
        <v>49</v>
      </c>
    </row>
    <row r="168" spans="1:17">
      <c r="A168">
        <v>167</v>
      </c>
      <c r="B168" s="14">
        <v>45870</v>
      </c>
      <c r="C168" t="s">
        <v>20</v>
      </c>
      <c r="D168" t="s">
        <v>21</v>
      </c>
      <c r="E168" t="s">
        <v>113</v>
      </c>
      <c r="F168" t="s">
        <v>91</v>
      </c>
      <c r="G168" t="s">
        <v>45</v>
      </c>
      <c r="H168" t="s">
        <v>46</v>
      </c>
      <c r="I168" t="s">
        <v>53</v>
      </c>
      <c r="J168" t="s">
        <v>63</v>
      </c>
      <c r="K168">
        <v>14</v>
      </c>
      <c r="L168">
        <v>54.51</v>
      </c>
      <c r="M168">
        <v>10</v>
      </c>
      <c r="O168" t="s">
        <v>59</v>
      </c>
      <c r="P168" t="s">
        <v>71</v>
      </c>
      <c r="Q168" t="s">
        <v>65</v>
      </c>
    </row>
    <row r="169" spans="1:19">
      <c r="A169">
        <v>168</v>
      </c>
      <c r="B169" s="14">
        <v>45821</v>
      </c>
      <c r="C169" t="s">
        <v>20</v>
      </c>
      <c r="D169" t="s">
        <v>56</v>
      </c>
      <c r="E169" t="s">
        <v>118</v>
      </c>
      <c r="G169" t="s">
        <v>88</v>
      </c>
      <c r="H169" t="s">
        <v>58</v>
      </c>
      <c r="I169" t="s">
        <v>53</v>
      </c>
      <c r="J169" t="s">
        <v>27</v>
      </c>
      <c r="K169">
        <v>44</v>
      </c>
      <c r="L169">
        <v>81</v>
      </c>
      <c r="M169">
        <v>5</v>
      </c>
      <c r="O169" t="s">
        <v>40</v>
      </c>
      <c r="P169" t="s">
        <v>64</v>
      </c>
      <c r="Q169" t="s">
        <v>41</v>
      </c>
      <c r="S169">
        <v>4</v>
      </c>
    </row>
    <row r="170" spans="1:20">
      <c r="A170">
        <v>169</v>
      </c>
      <c r="B170" s="14">
        <v>45776</v>
      </c>
      <c r="C170" t="s">
        <v>77</v>
      </c>
      <c r="D170" t="s">
        <v>83</v>
      </c>
      <c r="E170" t="s">
        <v>104</v>
      </c>
      <c r="F170" t="s">
        <v>91</v>
      </c>
      <c r="G170" t="s">
        <v>24</v>
      </c>
      <c r="H170" t="s">
        <v>73</v>
      </c>
      <c r="I170" t="s">
        <v>38</v>
      </c>
      <c r="J170" t="s">
        <v>27</v>
      </c>
      <c r="K170">
        <v>48</v>
      </c>
      <c r="L170">
        <v>63.34</v>
      </c>
      <c r="M170">
        <v>5</v>
      </c>
      <c r="O170" t="s">
        <v>59</v>
      </c>
      <c r="P170" t="s">
        <v>29</v>
      </c>
      <c r="Q170" t="s">
        <v>65</v>
      </c>
      <c r="R170" t="s">
        <v>31</v>
      </c>
      <c r="T170" t="s">
        <v>32</v>
      </c>
    </row>
    <row r="171" spans="1:20">
      <c r="A171">
        <v>170</v>
      </c>
      <c r="B171" s="14">
        <v>45763</v>
      </c>
      <c r="C171" t="s">
        <v>60</v>
      </c>
      <c r="D171" t="s">
        <v>61</v>
      </c>
      <c r="E171" t="s">
        <v>102</v>
      </c>
      <c r="F171" t="s">
        <v>44</v>
      </c>
      <c r="G171" t="s">
        <v>68</v>
      </c>
      <c r="H171" t="s">
        <v>58</v>
      </c>
      <c r="I171" t="s">
        <v>47</v>
      </c>
      <c r="J171" t="s">
        <v>39</v>
      </c>
      <c r="K171">
        <v>24</v>
      </c>
      <c r="L171">
        <v>35.97</v>
      </c>
      <c r="M171">
        <v>15</v>
      </c>
      <c r="O171" t="s">
        <v>28</v>
      </c>
      <c r="P171" t="s">
        <v>75</v>
      </c>
      <c r="Q171" t="s">
        <v>65</v>
      </c>
      <c r="T171" t="s">
        <v>49</v>
      </c>
    </row>
    <row r="172" spans="1:20">
      <c r="A172">
        <v>171</v>
      </c>
      <c r="B172" s="14">
        <v>45963</v>
      </c>
      <c r="C172" t="s">
        <v>85</v>
      </c>
      <c r="D172" t="s">
        <v>34</v>
      </c>
      <c r="E172" t="s">
        <v>87</v>
      </c>
      <c r="F172" t="s">
        <v>36</v>
      </c>
      <c r="G172" t="s">
        <v>88</v>
      </c>
      <c r="H172" t="s">
        <v>46</v>
      </c>
      <c r="I172" t="s">
        <v>53</v>
      </c>
      <c r="J172" t="s">
        <v>63</v>
      </c>
      <c r="K172">
        <v>40</v>
      </c>
      <c r="L172">
        <v>21.39</v>
      </c>
      <c r="M172">
        <v>10</v>
      </c>
      <c r="O172" t="s">
        <v>28</v>
      </c>
      <c r="P172" t="s">
        <v>64</v>
      </c>
      <c r="Q172" t="s">
        <v>41</v>
      </c>
      <c r="R172" t="s">
        <v>31</v>
      </c>
      <c r="S172">
        <v>2</v>
      </c>
      <c r="T172" t="s">
        <v>49</v>
      </c>
    </row>
    <row r="173" spans="1:20">
      <c r="A173">
        <v>172</v>
      </c>
      <c r="B173" s="14">
        <v>45717</v>
      </c>
      <c r="C173" t="s">
        <v>50</v>
      </c>
      <c r="D173" t="s">
        <v>56</v>
      </c>
      <c r="E173" t="s">
        <v>57</v>
      </c>
      <c r="F173" t="s">
        <v>91</v>
      </c>
      <c r="G173" t="s">
        <v>68</v>
      </c>
      <c r="H173" t="s">
        <v>73</v>
      </c>
      <c r="I173" t="s">
        <v>38</v>
      </c>
      <c r="J173" t="s">
        <v>39</v>
      </c>
      <c r="K173">
        <v>37</v>
      </c>
      <c r="L173">
        <v>41.45</v>
      </c>
      <c r="M173">
        <v>5</v>
      </c>
      <c r="O173" t="s">
        <v>59</v>
      </c>
      <c r="P173" t="s">
        <v>64</v>
      </c>
      <c r="Q173" t="s">
        <v>76</v>
      </c>
      <c r="R173" t="s">
        <v>42</v>
      </c>
      <c r="S173">
        <v>3</v>
      </c>
      <c r="T173" t="s">
        <v>32</v>
      </c>
    </row>
    <row r="174" spans="1:18">
      <c r="A174">
        <v>173</v>
      </c>
      <c r="B174" s="14">
        <v>45753</v>
      </c>
      <c r="C174" t="s">
        <v>60</v>
      </c>
      <c r="D174" t="s">
        <v>61</v>
      </c>
      <c r="E174" t="s">
        <v>80</v>
      </c>
      <c r="F174" t="s">
        <v>36</v>
      </c>
      <c r="G174" t="s">
        <v>88</v>
      </c>
      <c r="H174" t="s">
        <v>46</v>
      </c>
      <c r="I174" t="s">
        <v>74</v>
      </c>
      <c r="J174" t="s">
        <v>63</v>
      </c>
      <c r="K174">
        <v>9</v>
      </c>
      <c r="L174">
        <v>23.54</v>
      </c>
      <c r="M174">
        <v>15</v>
      </c>
      <c r="O174" t="s">
        <v>59</v>
      </c>
      <c r="P174" t="s">
        <v>29</v>
      </c>
      <c r="Q174" t="s">
        <v>65</v>
      </c>
      <c r="R174" t="s">
        <v>42</v>
      </c>
    </row>
    <row r="175" spans="1:20">
      <c r="A175">
        <v>174</v>
      </c>
      <c r="B175" s="14">
        <v>45908</v>
      </c>
      <c r="C175" t="s">
        <v>50</v>
      </c>
      <c r="D175" t="s">
        <v>21</v>
      </c>
      <c r="E175" t="s">
        <v>100</v>
      </c>
      <c r="F175" t="s">
        <v>44</v>
      </c>
      <c r="G175" t="s">
        <v>24</v>
      </c>
      <c r="H175" t="s">
        <v>46</v>
      </c>
      <c r="I175" t="s">
        <v>74</v>
      </c>
      <c r="J175" t="s">
        <v>48</v>
      </c>
      <c r="K175">
        <v>15</v>
      </c>
      <c r="L175">
        <v>56.07</v>
      </c>
      <c r="M175">
        <v>5</v>
      </c>
      <c r="O175" t="s">
        <v>59</v>
      </c>
      <c r="P175" t="s">
        <v>29</v>
      </c>
      <c r="Q175" t="s">
        <v>30</v>
      </c>
      <c r="S175">
        <v>1</v>
      </c>
      <c r="T175" t="s">
        <v>49</v>
      </c>
    </row>
    <row r="176" spans="1:19">
      <c r="A176">
        <v>175</v>
      </c>
      <c r="B176" s="14">
        <v>45936</v>
      </c>
      <c r="C176" t="s">
        <v>77</v>
      </c>
      <c r="D176" t="s">
        <v>56</v>
      </c>
      <c r="E176" t="s">
        <v>121</v>
      </c>
      <c r="F176" t="s">
        <v>44</v>
      </c>
      <c r="H176" t="s">
        <v>73</v>
      </c>
      <c r="I176" t="s">
        <v>47</v>
      </c>
      <c r="J176" t="s">
        <v>39</v>
      </c>
      <c r="K176">
        <v>28</v>
      </c>
      <c r="L176">
        <v>14.73</v>
      </c>
      <c r="M176">
        <v>5</v>
      </c>
      <c r="O176" t="s">
        <v>54</v>
      </c>
      <c r="P176" t="s">
        <v>71</v>
      </c>
      <c r="Q176" t="s">
        <v>65</v>
      </c>
      <c r="R176" t="s">
        <v>42</v>
      </c>
      <c r="S176">
        <v>3</v>
      </c>
    </row>
    <row r="177" spans="1:20">
      <c r="A177">
        <v>176</v>
      </c>
      <c r="B177" s="14">
        <v>45882</v>
      </c>
      <c r="C177" t="s">
        <v>77</v>
      </c>
      <c r="D177" t="s">
        <v>21</v>
      </c>
      <c r="E177" t="s">
        <v>62</v>
      </c>
      <c r="F177" t="s">
        <v>91</v>
      </c>
      <c r="G177" t="s">
        <v>24</v>
      </c>
      <c r="H177" t="s">
        <v>37</v>
      </c>
      <c r="I177" t="s">
        <v>53</v>
      </c>
      <c r="J177" t="s">
        <v>63</v>
      </c>
      <c r="K177">
        <v>11</v>
      </c>
      <c r="L177">
        <v>63.53</v>
      </c>
      <c r="M177">
        <v>5</v>
      </c>
      <c r="O177" t="s">
        <v>40</v>
      </c>
      <c r="P177" t="s">
        <v>71</v>
      </c>
      <c r="Q177" t="s">
        <v>41</v>
      </c>
      <c r="S177">
        <v>3</v>
      </c>
      <c r="T177" t="s">
        <v>32</v>
      </c>
    </row>
    <row r="178" spans="1:20">
      <c r="A178">
        <v>177</v>
      </c>
      <c r="B178" s="14">
        <v>45823</v>
      </c>
      <c r="C178" t="s">
        <v>55</v>
      </c>
      <c r="D178" t="s">
        <v>56</v>
      </c>
      <c r="E178" t="s">
        <v>72</v>
      </c>
      <c r="F178" t="s">
        <v>36</v>
      </c>
      <c r="G178" t="s">
        <v>45</v>
      </c>
      <c r="H178" t="s">
        <v>37</v>
      </c>
      <c r="I178" t="s">
        <v>74</v>
      </c>
      <c r="J178" t="s">
        <v>39</v>
      </c>
      <c r="K178">
        <v>49</v>
      </c>
      <c r="L178">
        <v>79.64</v>
      </c>
      <c r="M178">
        <v>0</v>
      </c>
      <c r="O178" t="s">
        <v>54</v>
      </c>
      <c r="P178" t="s">
        <v>64</v>
      </c>
      <c r="Q178" t="s">
        <v>76</v>
      </c>
      <c r="R178" t="s">
        <v>31</v>
      </c>
      <c r="S178">
        <v>2</v>
      </c>
      <c r="T178" t="s">
        <v>49</v>
      </c>
    </row>
    <row r="179" spans="1:20">
      <c r="A179">
        <v>178</v>
      </c>
      <c r="B179" s="14">
        <v>45784</v>
      </c>
      <c r="C179" t="s">
        <v>77</v>
      </c>
      <c r="D179" t="s">
        <v>61</v>
      </c>
      <c r="E179" t="s">
        <v>69</v>
      </c>
      <c r="F179" t="s">
        <v>70</v>
      </c>
      <c r="G179" t="s">
        <v>81</v>
      </c>
      <c r="H179" t="s">
        <v>25</v>
      </c>
      <c r="I179" t="s">
        <v>47</v>
      </c>
      <c r="J179" t="s">
        <v>48</v>
      </c>
      <c r="K179">
        <v>41</v>
      </c>
      <c r="L179">
        <v>44.35</v>
      </c>
      <c r="M179">
        <v>15</v>
      </c>
      <c r="O179" t="s">
        <v>28</v>
      </c>
      <c r="P179" t="s">
        <v>71</v>
      </c>
      <c r="Q179" t="s">
        <v>65</v>
      </c>
      <c r="T179" t="s">
        <v>49</v>
      </c>
    </row>
    <row r="180" spans="1:19">
      <c r="A180">
        <v>179</v>
      </c>
      <c r="B180" s="14">
        <v>46013</v>
      </c>
      <c r="C180" t="s">
        <v>60</v>
      </c>
      <c r="D180" t="s">
        <v>83</v>
      </c>
      <c r="E180" t="s">
        <v>105</v>
      </c>
      <c r="F180" t="s">
        <v>23</v>
      </c>
      <c r="G180" t="s">
        <v>68</v>
      </c>
      <c r="H180" t="s">
        <v>58</v>
      </c>
      <c r="I180" t="s">
        <v>74</v>
      </c>
      <c r="J180" t="s">
        <v>63</v>
      </c>
      <c r="K180">
        <v>41</v>
      </c>
      <c r="L180">
        <v>68.09</v>
      </c>
      <c r="M180">
        <v>10</v>
      </c>
      <c r="O180" t="s">
        <v>28</v>
      </c>
      <c r="P180" t="s">
        <v>29</v>
      </c>
      <c r="Q180" t="s">
        <v>76</v>
      </c>
      <c r="R180" t="s">
        <v>42</v>
      </c>
      <c r="S180">
        <v>2</v>
      </c>
    </row>
    <row r="181" spans="1:20">
      <c r="A181">
        <v>180</v>
      </c>
      <c r="B181" s="14">
        <v>45795</v>
      </c>
      <c r="C181" t="s">
        <v>60</v>
      </c>
      <c r="D181" t="s">
        <v>61</v>
      </c>
      <c r="E181" t="s">
        <v>72</v>
      </c>
      <c r="F181" t="s">
        <v>23</v>
      </c>
      <c r="G181" t="s">
        <v>68</v>
      </c>
      <c r="H181" t="s">
        <v>37</v>
      </c>
      <c r="I181" t="s">
        <v>26</v>
      </c>
      <c r="J181" t="s">
        <v>63</v>
      </c>
      <c r="K181">
        <v>22</v>
      </c>
      <c r="L181">
        <v>89.94</v>
      </c>
      <c r="M181">
        <v>0</v>
      </c>
      <c r="O181" t="s">
        <v>28</v>
      </c>
      <c r="P181" t="s">
        <v>71</v>
      </c>
      <c r="Q181" t="s">
        <v>65</v>
      </c>
      <c r="R181" t="s">
        <v>31</v>
      </c>
      <c r="S181">
        <v>1</v>
      </c>
      <c r="T181" t="s">
        <v>32</v>
      </c>
    </row>
    <row r="182" spans="1:20">
      <c r="A182">
        <v>181</v>
      </c>
      <c r="B182" s="14">
        <v>45883</v>
      </c>
      <c r="C182" t="s">
        <v>85</v>
      </c>
      <c r="D182" t="s">
        <v>21</v>
      </c>
      <c r="E182" t="s">
        <v>103</v>
      </c>
      <c r="F182" t="s">
        <v>91</v>
      </c>
      <c r="H182" t="s">
        <v>25</v>
      </c>
      <c r="I182" t="s">
        <v>53</v>
      </c>
      <c r="J182" t="s">
        <v>39</v>
      </c>
      <c r="K182">
        <v>18</v>
      </c>
      <c r="L182">
        <v>13.87</v>
      </c>
      <c r="M182">
        <v>10</v>
      </c>
      <c r="O182" t="s">
        <v>54</v>
      </c>
      <c r="P182" t="s">
        <v>71</v>
      </c>
      <c r="Q182" t="s">
        <v>41</v>
      </c>
      <c r="T182" t="s">
        <v>32</v>
      </c>
    </row>
    <row r="183" spans="1:19">
      <c r="A183">
        <v>182</v>
      </c>
      <c r="B183" s="14">
        <v>45684</v>
      </c>
      <c r="C183" t="s">
        <v>85</v>
      </c>
      <c r="D183" t="s">
        <v>51</v>
      </c>
      <c r="E183" t="s">
        <v>114</v>
      </c>
      <c r="H183" t="s">
        <v>25</v>
      </c>
      <c r="I183" t="s">
        <v>38</v>
      </c>
      <c r="J183" t="s">
        <v>27</v>
      </c>
      <c r="K183">
        <v>46</v>
      </c>
      <c r="L183">
        <v>14.04</v>
      </c>
      <c r="M183">
        <v>5</v>
      </c>
      <c r="O183" t="s">
        <v>59</v>
      </c>
      <c r="P183" t="s">
        <v>71</v>
      </c>
      <c r="Q183" t="s">
        <v>76</v>
      </c>
      <c r="S183">
        <v>2</v>
      </c>
    </row>
    <row r="184" spans="1:19">
      <c r="A184">
        <v>183</v>
      </c>
      <c r="B184" s="14">
        <v>45662</v>
      </c>
      <c r="C184" t="s">
        <v>20</v>
      </c>
      <c r="D184" t="s">
        <v>51</v>
      </c>
      <c r="E184" t="s">
        <v>82</v>
      </c>
      <c r="F184" t="s">
        <v>44</v>
      </c>
      <c r="G184" t="s">
        <v>81</v>
      </c>
      <c r="H184" t="s">
        <v>25</v>
      </c>
      <c r="I184" t="s">
        <v>38</v>
      </c>
      <c r="J184" t="s">
        <v>27</v>
      </c>
      <c r="K184">
        <v>15</v>
      </c>
      <c r="L184">
        <v>41.39</v>
      </c>
      <c r="M184">
        <v>0</v>
      </c>
      <c r="O184" t="s">
        <v>28</v>
      </c>
      <c r="P184" t="s">
        <v>75</v>
      </c>
      <c r="Q184" t="s">
        <v>41</v>
      </c>
      <c r="R184" t="s">
        <v>42</v>
      </c>
      <c r="S184">
        <v>2</v>
      </c>
    </row>
    <row r="185" spans="1:19">
      <c r="A185">
        <v>184</v>
      </c>
      <c r="B185" s="14">
        <v>45726</v>
      </c>
      <c r="C185" t="s">
        <v>55</v>
      </c>
      <c r="D185" t="s">
        <v>51</v>
      </c>
      <c r="E185" t="s">
        <v>90</v>
      </c>
      <c r="F185" t="s">
        <v>44</v>
      </c>
      <c r="G185" t="s">
        <v>68</v>
      </c>
      <c r="H185" t="s">
        <v>37</v>
      </c>
      <c r="I185" t="s">
        <v>74</v>
      </c>
      <c r="J185" t="s">
        <v>39</v>
      </c>
      <c r="K185">
        <v>29</v>
      </c>
      <c r="L185">
        <v>38.36</v>
      </c>
      <c r="M185">
        <v>5</v>
      </c>
      <c r="O185" t="s">
        <v>40</v>
      </c>
      <c r="P185" t="s">
        <v>29</v>
      </c>
      <c r="Q185" t="s">
        <v>65</v>
      </c>
      <c r="R185" t="s">
        <v>31</v>
      </c>
      <c r="S185">
        <v>1</v>
      </c>
    </row>
    <row r="186" spans="1:20">
      <c r="A186">
        <v>185</v>
      </c>
      <c r="B186" s="14">
        <v>45729</v>
      </c>
      <c r="C186" t="s">
        <v>77</v>
      </c>
      <c r="D186" t="s">
        <v>21</v>
      </c>
      <c r="E186" t="s">
        <v>98</v>
      </c>
      <c r="G186" t="s">
        <v>81</v>
      </c>
      <c r="H186" t="s">
        <v>46</v>
      </c>
      <c r="I186" t="s">
        <v>38</v>
      </c>
      <c r="J186" t="s">
        <v>48</v>
      </c>
      <c r="K186">
        <v>9</v>
      </c>
      <c r="L186">
        <v>28.54</v>
      </c>
      <c r="M186">
        <v>0</v>
      </c>
      <c r="O186" t="s">
        <v>40</v>
      </c>
      <c r="P186" t="s">
        <v>75</v>
      </c>
      <c r="Q186" t="s">
        <v>30</v>
      </c>
      <c r="S186">
        <v>3</v>
      </c>
      <c r="T186" t="s">
        <v>32</v>
      </c>
    </row>
    <row r="187" spans="1:20">
      <c r="A187">
        <v>186</v>
      </c>
      <c r="B187" s="14">
        <v>45923</v>
      </c>
      <c r="C187" t="s">
        <v>33</v>
      </c>
      <c r="D187" t="s">
        <v>34</v>
      </c>
      <c r="E187" t="s">
        <v>101</v>
      </c>
      <c r="G187" t="s">
        <v>81</v>
      </c>
      <c r="H187" t="s">
        <v>46</v>
      </c>
      <c r="I187" t="s">
        <v>74</v>
      </c>
      <c r="J187" t="s">
        <v>39</v>
      </c>
      <c r="K187">
        <v>32</v>
      </c>
      <c r="L187">
        <v>41.66</v>
      </c>
      <c r="M187">
        <v>5</v>
      </c>
      <c r="O187" t="s">
        <v>59</v>
      </c>
      <c r="P187" t="s">
        <v>71</v>
      </c>
      <c r="Q187" t="s">
        <v>30</v>
      </c>
      <c r="R187" t="s">
        <v>42</v>
      </c>
      <c r="S187">
        <v>3</v>
      </c>
      <c r="T187" t="s">
        <v>32</v>
      </c>
    </row>
    <row r="188" spans="1:19">
      <c r="A188">
        <v>187</v>
      </c>
      <c r="B188" s="14">
        <v>45856</v>
      </c>
      <c r="C188" t="s">
        <v>77</v>
      </c>
      <c r="D188" t="s">
        <v>61</v>
      </c>
      <c r="E188" t="s">
        <v>100</v>
      </c>
      <c r="F188" t="s">
        <v>70</v>
      </c>
      <c r="G188" t="s">
        <v>45</v>
      </c>
      <c r="H188" t="s">
        <v>37</v>
      </c>
      <c r="I188" t="s">
        <v>26</v>
      </c>
      <c r="J188" t="s">
        <v>63</v>
      </c>
      <c r="K188">
        <v>50</v>
      </c>
      <c r="L188">
        <v>11.93</v>
      </c>
      <c r="O188" t="s">
        <v>28</v>
      </c>
      <c r="P188" t="s">
        <v>71</v>
      </c>
      <c r="Q188" t="s">
        <v>41</v>
      </c>
      <c r="R188" t="s">
        <v>31</v>
      </c>
      <c r="S188">
        <v>1</v>
      </c>
    </row>
    <row r="189" spans="1:20">
      <c r="A189">
        <v>188</v>
      </c>
      <c r="B189" s="14">
        <v>45861</v>
      </c>
      <c r="C189" t="s">
        <v>33</v>
      </c>
      <c r="D189" t="s">
        <v>56</v>
      </c>
      <c r="E189" t="s">
        <v>104</v>
      </c>
      <c r="G189" t="s">
        <v>68</v>
      </c>
      <c r="H189" t="s">
        <v>73</v>
      </c>
      <c r="I189" t="s">
        <v>38</v>
      </c>
      <c r="J189" t="s">
        <v>63</v>
      </c>
      <c r="K189">
        <v>6</v>
      </c>
      <c r="L189">
        <v>65.85</v>
      </c>
      <c r="O189" t="s">
        <v>40</v>
      </c>
      <c r="P189" t="s">
        <v>75</v>
      </c>
      <c r="Q189" t="s">
        <v>30</v>
      </c>
      <c r="R189" t="s">
        <v>42</v>
      </c>
      <c r="S189">
        <v>1</v>
      </c>
      <c r="T189" t="s">
        <v>32</v>
      </c>
    </row>
    <row r="190" spans="1:19">
      <c r="A190">
        <v>189</v>
      </c>
      <c r="B190" s="14">
        <v>45737</v>
      </c>
      <c r="C190" t="s">
        <v>33</v>
      </c>
      <c r="D190" t="s">
        <v>56</v>
      </c>
      <c r="E190" t="s">
        <v>87</v>
      </c>
      <c r="F190" t="s">
        <v>36</v>
      </c>
      <c r="H190" t="s">
        <v>58</v>
      </c>
      <c r="I190" t="s">
        <v>53</v>
      </c>
      <c r="J190" t="s">
        <v>63</v>
      </c>
      <c r="K190">
        <v>47</v>
      </c>
      <c r="L190">
        <v>95.58</v>
      </c>
      <c r="M190">
        <v>5</v>
      </c>
      <c r="O190" t="s">
        <v>28</v>
      </c>
      <c r="P190" t="s">
        <v>64</v>
      </c>
      <c r="Q190" t="s">
        <v>30</v>
      </c>
      <c r="R190" t="s">
        <v>42</v>
      </c>
      <c r="S190">
        <v>1</v>
      </c>
    </row>
    <row r="191" spans="1:20">
      <c r="A191">
        <v>190</v>
      </c>
      <c r="B191" s="14">
        <v>45971</v>
      </c>
      <c r="C191" t="s">
        <v>33</v>
      </c>
      <c r="D191" t="s">
        <v>21</v>
      </c>
      <c r="E191" t="s">
        <v>114</v>
      </c>
      <c r="H191" t="s">
        <v>25</v>
      </c>
      <c r="I191" t="s">
        <v>74</v>
      </c>
      <c r="J191" t="s">
        <v>27</v>
      </c>
      <c r="K191">
        <v>46</v>
      </c>
      <c r="L191">
        <v>18.04</v>
      </c>
      <c r="M191">
        <v>0</v>
      </c>
      <c r="O191" t="s">
        <v>40</v>
      </c>
      <c r="P191" t="s">
        <v>29</v>
      </c>
      <c r="Q191" t="s">
        <v>41</v>
      </c>
      <c r="S191">
        <v>5</v>
      </c>
      <c r="T191" t="s">
        <v>49</v>
      </c>
    </row>
    <row r="192" spans="1:20">
      <c r="A192">
        <v>191</v>
      </c>
      <c r="B192" s="14">
        <v>45743</v>
      </c>
      <c r="C192" t="s">
        <v>60</v>
      </c>
      <c r="D192" t="s">
        <v>66</v>
      </c>
      <c r="E192" t="s">
        <v>22</v>
      </c>
      <c r="F192" t="s">
        <v>23</v>
      </c>
      <c r="H192" t="s">
        <v>58</v>
      </c>
      <c r="I192" t="s">
        <v>74</v>
      </c>
      <c r="J192" t="s">
        <v>48</v>
      </c>
      <c r="K192">
        <v>28</v>
      </c>
      <c r="L192">
        <v>30.84</v>
      </c>
      <c r="M192">
        <v>0</v>
      </c>
      <c r="O192" t="s">
        <v>54</v>
      </c>
      <c r="P192" t="s">
        <v>71</v>
      </c>
      <c r="Q192" t="s">
        <v>65</v>
      </c>
      <c r="R192" t="s">
        <v>42</v>
      </c>
      <c r="S192">
        <v>5</v>
      </c>
      <c r="T192" t="s">
        <v>49</v>
      </c>
    </row>
    <row r="193" spans="1:19">
      <c r="A193">
        <v>192</v>
      </c>
      <c r="B193" s="14">
        <v>45686</v>
      </c>
      <c r="C193" t="s">
        <v>85</v>
      </c>
      <c r="D193" t="s">
        <v>61</v>
      </c>
      <c r="E193" t="s">
        <v>100</v>
      </c>
      <c r="F193" t="s">
        <v>91</v>
      </c>
      <c r="G193" t="s">
        <v>45</v>
      </c>
      <c r="H193" t="s">
        <v>25</v>
      </c>
      <c r="I193" t="s">
        <v>53</v>
      </c>
      <c r="J193" t="s">
        <v>27</v>
      </c>
      <c r="K193">
        <v>37</v>
      </c>
      <c r="L193">
        <v>69.04</v>
      </c>
      <c r="M193">
        <v>0</v>
      </c>
      <c r="O193" t="s">
        <v>40</v>
      </c>
      <c r="P193" t="s">
        <v>71</v>
      </c>
      <c r="Q193" t="s">
        <v>30</v>
      </c>
      <c r="R193" t="s">
        <v>31</v>
      </c>
      <c r="S193">
        <v>2</v>
      </c>
    </row>
    <row r="194" spans="1:19">
      <c r="A194">
        <v>193</v>
      </c>
      <c r="B194" s="14">
        <v>45899</v>
      </c>
      <c r="C194" t="s">
        <v>60</v>
      </c>
      <c r="D194" t="s">
        <v>83</v>
      </c>
      <c r="E194" t="s">
        <v>90</v>
      </c>
      <c r="F194" t="s">
        <v>91</v>
      </c>
      <c r="G194" t="s">
        <v>88</v>
      </c>
      <c r="H194" t="s">
        <v>37</v>
      </c>
      <c r="I194" t="s">
        <v>38</v>
      </c>
      <c r="J194" t="s">
        <v>39</v>
      </c>
      <c r="K194">
        <v>21</v>
      </c>
      <c r="L194">
        <v>28.59</v>
      </c>
      <c r="M194">
        <v>10</v>
      </c>
      <c r="O194" t="s">
        <v>54</v>
      </c>
      <c r="P194" t="s">
        <v>71</v>
      </c>
      <c r="Q194" t="s">
        <v>41</v>
      </c>
      <c r="R194" t="s">
        <v>31</v>
      </c>
      <c r="S194">
        <v>5</v>
      </c>
    </row>
    <row r="195" spans="1:20">
      <c r="A195">
        <v>194</v>
      </c>
      <c r="B195" s="14">
        <v>45749</v>
      </c>
      <c r="C195" t="s">
        <v>50</v>
      </c>
      <c r="D195" t="s">
        <v>61</v>
      </c>
      <c r="E195" t="s">
        <v>99</v>
      </c>
      <c r="F195" t="s">
        <v>44</v>
      </c>
      <c r="G195" t="s">
        <v>81</v>
      </c>
      <c r="H195" t="s">
        <v>58</v>
      </c>
      <c r="I195" t="s">
        <v>38</v>
      </c>
      <c r="J195" t="s">
        <v>48</v>
      </c>
      <c r="K195">
        <v>50</v>
      </c>
      <c r="L195">
        <v>85.26</v>
      </c>
      <c r="M195">
        <v>10</v>
      </c>
      <c r="O195" t="s">
        <v>28</v>
      </c>
      <c r="P195" t="s">
        <v>29</v>
      </c>
      <c r="Q195" t="s">
        <v>30</v>
      </c>
      <c r="R195" t="s">
        <v>42</v>
      </c>
      <c r="S195">
        <v>2</v>
      </c>
      <c r="T195" t="s">
        <v>49</v>
      </c>
    </row>
    <row r="196" spans="1:20">
      <c r="A196">
        <v>195</v>
      </c>
      <c r="B196" s="14">
        <v>45946</v>
      </c>
      <c r="C196" t="s">
        <v>77</v>
      </c>
      <c r="D196" t="s">
        <v>56</v>
      </c>
      <c r="E196" t="s">
        <v>22</v>
      </c>
      <c r="F196" t="s">
        <v>36</v>
      </c>
      <c r="G196" t="s">
        <v>24</v>
      </c>
      <c r="H196" t="s">
        <v>73</v>
      </c>
      <c r="I196" t="s">
        <v>53</v>
      </c>
      <c r="J196" t="s">
        <v>63</v>
      </c>
      <c r="K196">
        <v>50</v>
      </c>
      <c r="L196">
        <v>78.71</v>
      </c>
      <c r="O196" t="s">
        <v>40</v>
      </c>
      <c r="P196" t="s">
        <v>64</v>
      </c>
      <c r="Q196" t="s">
        <v>30</v>
      </c>
      <c r="R196" t="s">
        <v>42</v>
      </c>
      <c r="S196">
        <v>1</v>
      </c>
      <c r="T196" t="s">
        <v>32</v>
      </c>
    </row>
    <row r="197" spans="1:20">
      <c r="A197">
        <v>196</v>
      </c>
      <c r="B197" s="14">
        <v>45935</v>
      </c>
      <c r="C197" t="s">
        <v>60</v>
      </c>
      <c r="D197" t="s">
        <v>51</v>
      </c>
      <c r="E197" t="s">
        <v>57</v>
      </c>
      <c r="F197" t="s">
        <v>44</v>
      </c>
      <c r="G197" t="s">
        <v>45</v>
      </c>
      <c r="H197" t="s">
        <v>58</v>
      </c>
      <c r="I197" t="s">
        <v>38</v>
      </c>
      <c r="J197" t="s">
        <v>48</v>
      </c>
      <c r="K197">
        <v>7</v>
      </c>
      <c r="L197">
        <v>24.49</v>
      </c>
      <c r="M197">
        <v>5</v>
      </c>
      <c r="O197" t="s">
        <v>59</v>
      </c>
      <c r="P197" t="s">
        <v>29</v>
      </c>
      <c r="Q197" t="s">
        <v>30</v>
      </c>
      <c r="R197" t="s">
        <v>31</v>
      </c>
      <c r="T197" t="s">
        <v>49</v>
      </c>
    </row>
    <row r="198" spans="1:20">
      <c r="A198">
        <v>197</v>
      </c>
      <c r="B198" s="14">
        <v>45705</v>
      </c>
      <c r="C198" t="s">
        <v>20</v>
      </c>
      <c r="D198" t="s">
        <v>66</v>
      </c>
      <c r="E198" t="s">
        <v>99</v>
      </c>
      <c r="F198" t="s">
        <v>70</v>
      </c>
      <c r="H198" t="s">
        <v>46</v>
      </c>
      <c r="I198" t="s">
        <v>38</v>
      </c>
      <c r="J198" t="s">
        <v>27</v>
      </c>
      <c r="K198">
        <v>38</v>
      </c>
      <c r="L198">
        <v>14.08</v>
      </c>
      <c r="M198">
        <v>5</v>
      </c>
      <c r="O198" t="s">
        <v>59</v>
      </c>
      <c r="P198" t="s">
        <v>71</v>
      </c>
      <c r="Q198" t="s">
        <v>30</v>
      </c>
      <c r="R198" t="s">
        <v>42</v>
      </c>
      <c r="T198" t="s">
        <v>32</v>
      </c>
    </row>
    <row r="199" spans="1:19">
      <c r="A199">
        <v>198</v>
      </c>
      <c r="B199" s="14">
        <v>45779</v>
      </c>
      <c r="C199" t="s">
        <v>60</v>
      </c>
      <c r="D199" t="s">
        <v>56</v>
      </c>
      <c r="E199" t="s">
        <v>108</v>
      </c>
      <c r="F199" t="s">
        <v>70</v>
      </c>
      <c r="H199" t="s">
        <v>46</v>
      </c>
      <c r="I199" t="s">
        <v>53</v>
      </c>
      <c r="J199" t="s">
        <v>63</v>
      </c>
      <c r="K199">
        <v>18</v>
      </c>
      <c r="L199">
        <v>27.19</v>
      </c>
      <c r="M199">
        <v>5</v>
      </c>
      <c r="O199" t="s">
        <v>40</v>
      </c>
      <c r="P199" t="s">
        <v>71</v>
      </c>
      <c r="Q199" t="s">
        <v>76</v>
      </c>
      <c r="R199" t="s">
        <v>31</v>
      </c>
      <c r="S199">
        <v>2</v>
      </c>
    </row>
    <row r="200" spans="1:17">
      <c r="A200">
        <v>199</v>
      </c>
      <c r="B200" s="14">
        <v>45896</v>
      </c>
      <c r="C200" t="s">
        <v>60</v>
      </c>
      <c r="D200" t="s">
        <v>83</v>
      </c>
      <c r="E200" t="s">
        <v>119</v>
      </c>
      <c r="F200" t="s">
        <v>36</v>
      </c>
      <c r="G200" t="s">
        <v>45</v>
      </c>
      <c r="H200" t="s">
        <v>25</v>
      </c>
      <c r="I200" t="s">
        <v>38</v>
      </c>
      <c r="J200" t="s">
        <v>48</v>
      </c>
      <c r="K200">
        <v>30</v>
      </c>
      <c r="L200">
        <v>30.18</v>
      </c>
      <c r="M200">
        <v>0</v>
      </c>
      <c r="O200" t="s">
        <v>28</v>
      </c>
      <c r="P200" t="s">
        <v>64</v>
      </c>
      <c r="Q200" t="s">
        <v>41</v>
      </c>
    </row>
    <row r="201" spans="1:20">
      <c r="A201">
        <v>200</v>
      </c>
      <c r="B201" s="14">
        <v>45768</v>
      </c>
      <c r="C201" t="s">
        <v>77</v>
      </c>
      <c r="D201" t="s">
        <v>61</v>
      </c>
      <c r="E201" t="s">
        <v>108</v>
      </c>
      <c r="F201" t="s">
        <v>91</v>
      </c>
      <c r="G201" t="s">
        <v>88</v>
      </c>
      <c r="H201" t="s">
        <v>25</v>
      </c>
      <c r="I201" t="s">
        <v>53</v>
      </c>
      <c r="J201" t="s">
        <v>63</v>
      </c>
      <c r="K201">
        <v>33</v>
      </c>
      <c r="L201">
        <v>9.65</v>
      </c>
      <c r="M201">
        <v>10</v>
      </c>
      <c r="O201" t="s">
        <v>54</v>
      </c>
      <c r="P201" t="s">
        <v>64</v>
      </c>
      <c r="Q201" t="s">
        <v>30</v>
      </c>
      <c r="R201" t="s">
        <v>42</v>
      </c>
      <c r="S201">
        <v>4</v>
      </c>
      <c r="T201" t="s">
        <v>32</v>
      </c>
    </row>
    <row r="202" spans="1:20">
      <c r="A202">
        <v>201</v>
      </c>
      <c r="B202" s="14">
        <v>45706</v>
      </c>
      <c r="C202" t="s">
        <v>85</v>
      </c>
      <c r="D202" t="s">
        <v>21</v>
      </c>
      <c r="E202" t="s">
        <v>89</v>
      </c>
      <c r="F202" t="s">
        <v>44</v>
      </c>
      <c r="G202" t="s">
        <v>88</v>
      </c>
      <c r="H202" t="s">
        <v>58</v>
      </c>
      <c r="I202" t="s">
        <v>26</v>
      </c>
      <c r="J202" t="s">
        <v>39</v>
      </c>
      <c r="K202">
        <v>13</v>
      </c>
      <c r="L202">
        <v>83.25</v>
      </c>
      <c r="M202">
        <v>10</v>
      </c>
      <c r="O202" t="s">
        <v>28</v>
      </c>
      <c r="P202" t="s">
        <v>75</v>
      </c>
      <c r="Q202" t="s">
        <v>30</v>
      </c>
      <c r="R202" t="s">
        <v>31</v>
      </c>
      <c r="S202">
        <v>1</v>
      </c>
      <c r="T202" t="s">
        <v>32</v>
      </c>
    </row>
    <row r="203" spans="1:19">
      <c r="A203">
        <v>202</v>
      </c>
      <c r="B203" s="14">
        <v>45988</v>
      </c>
      <c r="C203" t="s">
        <v>85</v>
      </c>
      <c r="D203" t="s">
        <v>61</v>
      </c>
      <c r="E203" t="s">
        <v>89</v>
      </c>
      <c r="F203" t="s">
        <v>44</v>
      </c>
      <c r="G203" t="s">
        <v>45</v>
      </c>
      <c r="H203" t="s">
        <v>58</v>
      </c>
      <c r="I203" t="s">
        <v>74</v>
      </c>
      <c r="J203" t="s">
        <v>63</v>
      </c>
      <c r="K203">
        <v>4</v>
      </c>
      <c r="L203">
        <v>20.96</v>
      </c>
      <c r="O203" t="s">
        <v>59</v>
      </c>
      <c r="P203" t="s">
        <v>29</v>
      </c>
      <c r="Q203" t="s">
        <v>65</v>
      </c>
      <c r="R203" t="s">
        <v>31</v>
      </c>
      <c r="S203">
        <v>4</v>
      </c>
    </row>
    <row r="204" spans="1:19">
      <c r="A204">
        <v>203</v>
      </c>
      <c r="B204" s="14">
        <v>45746</v>
      </c>
      <c r="C204" t="s">
        <v>60</v>
      </c>
      <c r="D204" t="s">
        <v>66</v>
      </c>
      <c r="E204" t="s">
        <v>92</v>
      </c>
      <c r="F204" t="s">
        <v>23</v>
      </c>
      <c r="G204" t="s">
        <v>45</v>
      </c>
      <c r="H204" t="s">
        <v>73</v>
      </c>
      <c r="I204" t="s">
        <v>26</v>
      </c>
      <c r="J204" t="s">
        <v>27</v>
      </c>
      <c r="K204">
        <v>40</v>
      </c>
      <c r="L204">
        <v>63.82</v>
      </c>
      <c r="M204">
        <v>5</v>
      </c>
      <c r="O204" t="s">
        <v>54</v>
      </c>
      <c r="P204" t="s">
        <v>29</v>
      </c>
      <c r="Q204" t="s">
        <v>65</v>
      </c>
      <c r="S204">
        <v>4</v>
      </c>
    </row>
    <row r="205" spans="1:20">
      <c r="A205">
        <v>204</v>
      </c>
      <c r="B205" s="14">
        <v>45702</v>
      </c>
      <c r="C205" t="s">
        <v>60</v>
      </c>
      <c r="D205" t="s">
        <v>83</v>
      </c>
      <c r="E205" t="s">
        <v>89</v>
      </c>
      <c r="F205" t="s">
        <v>70</v>
      </c>
      <c r="G205" t="s">
        <v>24</v>
      </c>
      <c r="H205" t="s">
        <v>37</v>
      </c>
      <c r="I205" t="s">
        <v>26</v>
      </c>
      <c r="J205" t="s">
        <v>27</v>
      </c>
      <c r="K205">
        <v>25</v>
      </c>
      <c r="L205">
        <v>79.28</v>
      </c>
      <c r="M205">
        <v>10</v>
      </c>
      <c r="O205" t="s">
        <v>59</v>
      </c>
      <c r="P205" t="s">
        <v>29</v>
      </c>
      <c r="Q205" t="s">
        <v>41</v>
      </c>
      <c r="S205">
        <v>5</v>
      </c>
      <c r="T205" t="s">
        <v>49</v>
      </c>
    </row>
    <row r="206" spans="1:20">
      <c r="A206">
        <v>205</v>
      </c>
      <c r="B206" s="14">
        <v>45856</v>
      </c>
      <c r="C206" t="s">
        <v>60</v>
      </c>
      <c r="D206" t="s">
        <v>66</v>
      </c>
      <c r="E206" t="s">
        <v>35</v>
      </c>
      <c r="F206" t="s">
        <v>23</v>
      </c>
      <c r="G206" t="s">
        <v>68</v>
      </c>
      <c r="H206" t="s">
        <v>25</v>
      </c>
      <c r="I206" t="s">
        <v>74</v>
      </c>
      <c r="J206" t="s">
        <v>48</v>
      </c>
      <c r="K206">
        <v>4</v>
      </c>
      <c r="L206">
        <v>81.82</v>
      </c>
      <c r="M206">
        <v>15</v>
      </c>
      <c r="O206" t="s">
        <v>54</v>
      </c>
      <c r="P206" t="s">
        <v>64</v>
      </c>
      <c r="Q206" t="s">
        <v>76</v>
      </c>
      <c r="R206" t="s">
        <v>31</v>
      </c>
      <c r="S206">
        <v>2</v>
      </c>
      <c r="T206" t="s">
        <v>32</v>
      </c>
    </row>
    <row r="207" spans="1:20">
      <c r="A207">
        <v>206</v>
      </c>
      <c r="B207" s="14">
        <v>45794</v>
      </c>
      <c r="C207" t="s">
        <v>33</v>
      </c>
      <c r="D207" t="s">
        <v>61</v>
      </c>
      <c r="E207" t="s">
        <v>22</v>
      </c>
      <c r="F207" t="s">
        <v>44</v>
      </c>
      <c r="G207" t="s">
        <v>24</v>
      </c>
      <c r="H207" t="s">
        <v>37</v>
      </c>
      <c r="I207" t="s">
        <v>38</v>
      </c>
      <c r="J207" t="s">
        <v>48</v>
      </c>
      <c r="K207">
        <v>12</v>
      </c>
      <c r="L207">
        <v>21.73</v>
      </c>
      <c r="O207" t="s">
        <v>54</v>
      </c>
      <c r="P207" t="s">
        <v>75</v>
      </c>
      <c r="Q207" t="s">
        <v>30</v>
      </c>
      <c r="T207" t="s">
        <v>49</v>
      </c>
    </row>
    <row r="208" spans="1:19">
      <c r="A208">
        <v>207</v>
      </c>
      <c r="B208" s="14">
        <v>45948</v>
      </c>
      <c r="C208" t="s">
        <v>33</v>
      </c>
      <c r="D208" t="s">
        <v>66</v>
      </c>
      <c r="E208" t="s">
        <v>100</v>
      </c>
      <c r="F208" t="s">
        <v>91</v>
      </c>
      <c r="G208" t="s">
        <v>81</v>
      </c>
      <c r="H208" t="s">
        <v>37</v>
      </c>
      <c r="I208" t="s">
        <v>53</v>
      </c>
      <c r="J208" t="s">
        <v>39</v>
      </c>
      <c r="K208">
        <v>32</v>
      </c>
      <c r="L208">
        <v>8.61</v>
      </c>
      <c r="M208">
        <v>0</v>
      </c>
      <c r="O208" t="s">
        <v>40</v>
      </c>
      <c r="P208" t="s">
        <v>64</v>
      </c>
      <c r="Q208" t="s">
        <v>30</v>
      </c>
      <c r="S208">
        <v>4</v>
      </c>
    </row>
    <row r="209" spans="1:18">
      <c r="A209">
        <v>208</v>
      </c>
      <c r="B209" s="14">
        <v>45827</v>
      </c>
      <c r="C209" t="s">
        <v>33</v>
      </c>
      <c r="D209" t="s">
        <v>66</v>
      </c>
      <c r="E209" t="s">
        <v>89</v>
      </c>
      <c r="F209" t="s">
        <v>23</v>
      </c>
      <c r="H209" t="s">
        <v>25</v>
      </c>
      <c r="I209" t="s">
        <v>53</v>
      </c>
      <c r="J209" t="s">
        <v>27</v>
      </c>
      <c r="K209">
        <v>2</v>
      </c>
      <c r="L209">
        <v>19.03</v>
      </c>
      <c r="M209">
        <v>5</v>
      </c>
      <c r="O209" t="s">
        <v>28</v>
      </c>
      <c r="P209" t="s">
        <v>75</v>
      </c>
      <c r="Q209" t="s">
        <v>30</v>
      </c>
      <c r="R209" t="s">
        <v>42</v>
      </c>
    </row>
    <row r="210" spans="1:20">
      <c r="A210">
        <v>209</v>
      </c>
      <c r="B210" s="14">
        <v>45958</v>
      </c>
      <c r="C210" t="s">
        <v>20</v>
      </c>
      <c r="D210" t="s">
        <v>56</v>
      </c>
      <c r="E210" t="s">
        <v>114</v>
      </c>
      <c r="F210" t="s">
        <v>23</v>
      </c>
      <c r="G210" t="s">
        <v>24</v>
      </c>
      <c r="H210" t="s">
        <v>25</v>
      </c>
      <c r="I210" t="s">
        <v>38</v>
      </c>
      <c r="J210" t="s">
        <v>63</v>
      </c>
      <c r="K210">
        <v>42</v>
      </c>
      <c r="L210">
        <v>35.14</v>
      </c>
      <c r="O210" t="s">
        <v>54</v>
      </c>
      <c r="P210" t="s">
        <v>64</v>
      </c>
      <c r="Q210" t="s">
        <v>76</v>
      </c>
      <c r="R210" t="s">
        <v>42</v>
      </c>
      <c r="S210">
        <v>3</v>
      </c>
      <c r="T210" t="s">
        <v>49</v>
      </c>
    </row>
    <row r="211" spans="1:19">
      <c r="A211">
        <v>210</v>
      </c>
      <c r="B211" s="14">
        <v>45723</v>
      </c>
      <c r="C211" t="s">
        <v>50</v>
      </c>
      <c r="D211" t="s">
        <v>51</v>
      </c>
      <c r="E211" t="s">
        <v>78</v>
      </c>
      <c r="G211" t="s">
        <v>68</v>
      </c>
      <c r="H211" t="s">
        <v>73</v>
      </c>
      <c r="I211" t="s">
        <v>47</v>
      </c>
      <c r="J211" t="s">
        <v>27</v>
      </c>
      <c r="K211">
        <v>12</v>
      </c>
      <c r="L211">
        <v>62.23</v>
      </c>
      <c r="O211" t="s">
        <v>40</v>
      </c>
      <c r="P211" t="s">
        <v>71</v>
      </c>
      <c r="Q211" t="s">
        <v>65</v>
      </c>
      <c r="R211" t="s">
        <v>31</v>
      </c>
      <c r="S211">
        <v>3</v>
      </c>
    </row>
    <row r="212" spans="1:19">
      <c r="A212">
        <v>211</v>
      </c>
      <c r="B212" s="14">
        <v>45779</v>
      </c>
      <c r="C212" t="s">
        <v>60</v>
      </c>
      <c r="D212" t="s">
        <v>56</v>
      </c>
      <c r="E212" t="s">
        <v>120</v>
      </c>
      <c r="G212" t="s">
        <v>88</v>
      </c>
      <c r="H212" t="s">
        <v>46</v>
      </c>
      <c r="I212" t="s">
        <v>38</v>
      </c>
      <c r="J212" t="s">
        <v>27</v>
      </c>
      <c r="K212">
        <v>17</v>
      </c>
      <c r="L212">
        <v>24.92</v>
      </c>
      <c r="M212">
        <v>0</v>
      </c>
      <c r="O212" t="s">
        <v>54</v>
      </c>
      <c r="P212" t="s">
        <v>75</v>
      </c>
      <c r="Q212" t="s">
        <v>30</v>
      </c>
      <c r="S212">
        <v>1</v>
      </c>
    </row>
    <row r="213" spans="1:20">
      <c r="A213">
        <v>212</v>
      </c>
      <c r="B213" s="14">
        <v>45855</v>
      </c>
      <c r="C213" t="s">
        <v>85</v>
      </c>
      <c r="D213" t="s">
        <v>51</v>
      </c>
      <c r="E213" t="s">
        <v>97</v>
      </c>
      <c r="F213" t="s">
        <v>91</v>
      </c>
      <c r="G213" t="s">
        <v>81</v>
      </c>
      <c r="H213" t="s">
        <v>73</v>
      </c>
      <c r="I213" t="s">
        <v>38</v>
      </c>
      <c r="J213" t="s">
        <v>48</v>
      </c>
      <c r="K213">
        <v>35</v>
      </c>
      <c r="L213">
        <v>40.66</v>
      </c>
      <c r="M213">
        <v>15</v>
      </c>
      <c r="O213" t="s">
        <v>40</v>
      </c>
      <c r="P213" t="s">
        <v>64</v>
      </c>
      <c r="Q213" t="s">
        <v>65</v>
      </c>
      <c r="R213" t="s">
        <v>31</v>
      </c>
      <c r="S213">
        <v>1</v>
      </c>
      <c r="T213" t="s">
        <v>49</v>
      </c>
    </row>
    <row r="214" spans="1:20">
      <c r="A214">
        <v>213</v>
      </c>
      <c r="B214" s="14">
        <v>45668</v>
      </c>
      <c r="C214" t="s">
        <v>60</v>
      </c>
      <c r="D214" t="s">
        <v>56</v>
      </c>
      <c r="E214" t="s">
        <v>106</v>
      </c>
      <c r="F214" t="s">
        <v>44</v>
      </c>
      <c r="G214" t="s">
        <v>45</v>
      </c>
      <c r="H214" t="s">
        <v>25</v>
      </c>
      <c r="I214" t="s">
        <v>38</v>
      </c>
      <c r="J214" t="s">
        <v>39</v>
      </c>
      <c r="K214">
        <v>47</v>
      </c>
      <c r="L214">
        <v>12.13</v>
      </c>
      <c r="M214">
        <v>0</v>
      </c>
      <c r="O214" t="s">
        <v>54</v>
      </c>
      <c r="P214" t="s">
        <v>29</v>
      </c>
      <c r="Q214" t="s">
        <v>30</v>
      </c>
      <c r="R214" t="s">
        <v>42</v>
      </c>
      <c r="T214" t="s">
        <v>32</v>
      </c>
    </row>
    <row r="215" spans="1:19">
      <c r="A215">
        <v>214</v>
      </c>
      <c r="B215" s="14">
        <v>45968</v>
      </c>
      <c r="C215" t="s">
        <v>85</v>
      </c>
      <c r="D215" t="s">
        <v>66</v>
      </c>
      <c r="E215" t="s">
        <v>117</v>
      </c>
      <c r="F215" t="s">
        <v>44</v>
      </c>
      <c r="G215" t="s">
        <v>45</v>
      </c>
      <c r="H215" t="s">
        <v>25</v>
      </c>
      <c r="I215" t="s">
        <v>26</v>
      </c>
      <c r="J215" t="s">
        <v>63</v>
      </c>
      <c r="K215">
        <v>45</v>
      </c>
      <c r="L215">
        <v>57.64</v>
      </c>
      <c r="O215" t="s">
        <v>54</v>
      </c>
      <c r="P215" t="s">
        <v>75</v>
      </c>
      <c r="Q215" t="s">
        <v>41</v>
      </c>
      <c r="R215" t="s">
        <v>31</v>
      </c>
      <c r="S215">
        <v>1</v>
      </c>
    </row>
    <row r="216" spans="1:20">
      <c r="A216">
        <v>215</v>
      </c>
      <c r="B216" s="14">
        <v>45859</v>
      </c>
      <c r="C216" t="s">
        <v>33</v>
      </c>
      <c r="D216" t="s">
        <v>34</v>
      </c>
      <c r="E216" t="s">
        <v>105</v>
      </c>
      <c r="F216" t="s">
        <v>91</v>
      </c>
      <c r="G216" t="s">
        <v>88</v>
      </c>
      <c r="H216" t="s">
        <v>46</v>
      </c>
      <c r="I216" t="s">
        <v>74</v>
      </c>
      <c r="J216" t="s">
        <v>63</v>
      </c>
      <c r="K216">
        <v>6</v>
      </c>
      <c r="L216">
        <v>32.98</v>
      </c>
      <c r="O216" t="s">
        <v>59</v>
      </c>
      <c r="P216" t="s">
        <v>64</v>
      </c>
      <c r="Q216" t="s">
        <v>30</v>
      </c>
      <c r="R216" t="s">
        <v>31</v>
      </c>
      <c r="S216">
        <v>2</v>
      </c>
      <c r="T216" t="s">
        <v>32</v>
      </c>
    </row>
    <row r="217" spans="1:20">
      <c r="A217">
        <v>216</v>
      </c>
      <c r="B217" s="14">
        <v>45984</v>
      </c>
      <c r="C217" t="s">
        <v>60</v>
      </c>
      <c r="D217" t="s">
        <v>21</v>
      </c>
      <c r="E217" t="s">
        <v>115</v>
      </c>
      <c r="F217" t="s">
        <v>44</v>
      </c>
      <c r="G217" t="s">
        <v>45</v>
      </c>
      <c r="H217" t="s">
        <v>73</v>
      </c>
      <c r="I217" t="s">
        <v>38</v>
      </c>
      <c r="J217" t="s">
        <v>63</v>
      </c>
      <c r="K217">
        <v>43</v>
      </c>
      <c r="L217">
        <v>30.18</v>
      </c>
      <c r="O217" t="s">
        <v>59</v>
      </c>
      <c r="P217" t="s">
        <v>64</v>
      </c>
      <c r="Q217" t="s">
        <v>41</v>
      </c>
      <c r="R217" t="s">
        <v>42</v>
      </c>
      <c r="S217">
        <v>3</v>
      </c>
      <c r="T217" t="s">
        <v>32</v>
      </c>
    </row>
    <row r="218" spans="1:19">
      <c r="A218">
        <v>217</v>
      </c>
      <c r="B218" s="14">
        <v>45886</v>
      </c>
      <c r="C218" t="s">
        <v>20</v>
      </c>
      <c r="D218" t="s">
        <v>56</v>
      </c>
      <c r="E218" t="s">
        <v>80</v>
      </c>
      <c r="F218" t="s">
        <v>70</v>
      </c>
      <c r="G218" t="s">
        <v>45</v>
      </c>
      <c r="H218" t="s">
        <v>25</v>
      </c>
      <c r="I218" t="s">
        <v>53</v>
      </c>
      <c r="J218" t="s">
        <v>27</v>
      </c>
      <c r="K218">
        <v>10</v>
      </c>
      <c r="L218">
        <v>76.46</v>
      </c>
      <c r="M218">
        <v>0</v>
      </c>
      <c r="O218" t="s">
        <v>28</v>
      </c>
      <c r="P218" t="s">
        <v>75</v>
      </c>
      <c r="Q218" t="s">
        <v>65</v>
      </c>
      <c r="S218">
        <v>2</v>
      </c>
    </row>
    <row r="219" spans="1:20">
      <c r="A219">
        <v>218</v>
      </c>
      <c r="B219" s="14">
        <v>45856</v>
      </c>
      <c r="C219" t="s">
        <v>77</v>
      </c>
      <c r="D219" t="s">
        <v>34</v>
      </c>
      <c r="E219" t="s">
        <v>97</v>
      </c>
      <c r="F219" t="s">
        <v>36</v>
      </c>
      <c r="H219" t="s">
        <v>73</v>
      </c>
      <c r="I219" t="s">
        <v>47</v>
      </c>
      <c r="J219" t="s">
        <v>39</v>
      </c>
      <c r="K219">
        <v>31</v>
      </c>
      <c r="L219">
        <v>33.39</v>
      </c>
      <c r="M219">
        <v>15</v>
      </c>
      <c r="O219" t="s">
        <v>28</v>
      </c>
      <c r="P219" t="s">
        <v>64</v>
      </c>
      <c r="Q219" t="s">
        <v>30</v>
      </c>
      <c r="R219" t="s">
        <v>42</v>
      </c>
      <c r="S219">
        <v>2</v>
      </c>
      <c r="T219" t="s">
        <v>32</v>
      </c>
    </row>
    <row r="220" spans="1:19">
      <c r="A220">
        <v>219</v>
      </c>
      <c r="B220" s="14">
        <v>45766</v>
      </c>
      <c r="C220" t="s">
        <v>77</v>
      </c>
      <c r="D220" t="s">
        <v>66</v>
      </c>
      <c r="E220" t="s">
        <v>89</v>
      </c>
      <c r="F220" t="s">
        <v>44</v>
      </c>
      <c r="G220" t="s">
        <v>81</v>
      </c>
      <c r="H220" t="s">
        <v>58</v>
      </c>
      <c r="I220" t="s">
        <v>38</v>
      </c>
      <c r="J220" t="s">
        <v>39</v>
      </c>
      <c r="K220">
        <v>41</v>
      </c>
      <c r="L220">
        <v>19.05</v>
      </c>
      <c r="O220" t="s">
        <v>54</v>
      </c>
      <c r="P220" t="s">
        <v>75</v>
      </c>
      <c r="Q220" t="s">
        <v>30</v>
      </c>
      <c r="R220" t="s">
        <v>31</v>
      </c>
      <c r="S220">
        <v>4</v>
      </c>
    </row>
    <row r="221" spans="1:20">
      <c r="A221">
        <v>220</v>
      </c>
      <c r="B221" s="14">
        <v>45940</v>
      </c>
      <c r="C221" t="s">
        <v>60</v>
      </c>
      <c r="D221" t="s">
        <v>61</v>
      </c>
      <c r="E221" t="s">
        <v>86</v>
      </c>
      <c r="F221" t="s">
        <v>36</v>
      </c>
      <c r="G221" t="s">
        <v>81</v>
      </c>
      <c r="H221" t="s">
        <v>58</v>
      </c>
      <c r="I221" t="s">
        <v>47</v>
      </c>
      <c r="J221" t="s">
        <v>63</v>
      </c>
      <c r="K221">
        <v>8</v>
      </c>
      <c r="L221">
        <v>44.37</v>
      </c>
      <c r="M221">
        <v>5</v>
      </c>
      <c r="O221" t="s">
        <v>28</v>
      </c>
      <c r="P221" t="s">
        <v>71</v>
      </c>
      <c r="Q221" t="s">
        <v>30</v>
      </c>
      <c r="R221" t="s">
        <v>42</v>
      </c>
      <c r="S221">
        <v>5</v>
      </c>
      <c r="T221" t="s">
        <v>49</v>
      </c>
    </row>
    <row r="222" spans="1:20">
      <c r="A222">
        <v>221</v>
      </c>
      <c r="B222" s="14">
        <v>45868</v>
      </c>
      <c r="C222" t="s">
        <v>60</v>
      </c>
      <c r="D222" t="s">
        <v>83</v>
      </c>
      <c r="E222" t="s">
        <v>109</v>
      </c>
      <c r="F222" t="s">
        <v>70</v>
      </c>
      <c r="G222" t="s">
        <v>68</v>
      </c>
      <c r="H222" t="s">
        <v>37</v>
      </c>
      <c r="I222" t="s">
        <v>38</v>
      </c>
      <c r="J222" t="s">
        <v>27</v>
      </c>
      <c r="K222">
        <v>12</v>
      </c>
      <c r="L222">
        <v>31.16</v>
      </c>
      <c r="M222">
        <v>5</v>
      </c>
      <c r="O222" t="s">
        <v>59</v>
      </c>
      <c r="P222" t="s">
        <v>71</v>
      </c>
      <c r="Q222" t="s">
        <v>65</v>
      </c>
      <c r="R222" t="s">
        <v>42</v>
      </c>
      <c r="T222" t="s">
        <v>32</v>
      </c>
    </row>
    <row r="223" spans="1:20">
      <c r="A223">
        <v>222</v>
      </c>
      <c r="B223" s="14">
        <v>45683</v>
      </c>
      <c r="C223" t="s">
        <v>55</v>
      </c>
      <c r="D223" t="s">
        <v>83</v>
      </c>
      <c r="E223" t="s">
        <v>86</v>
      </c>
      <c r="F223" t="s">
        <v>23</v>
      </c>
      <c r="G223" t="s">
        <v>88</v>
      </c>
      <c r="H223" t="s">
        <v>46</v>
      </c>
      <c r="I223" t="s">
        <v>53</v>
      </c>
      <c r="J223" t="s">
        <v>48</v>
      </c>
      <c r="K223">
        <v>18</v>
      </c>
      <c r="L223">
        <v>85.07</v>
      </c>
      <c r="M223">
        <v>0</v>
      </c>
      <c r="O223" t="s">
        <v>40</v>
      </c>
      <c r="P223" t="s">
        <v>64</v>
      </c>
      <c r="Q223" t="s">
        <v>41</v>
      </c>
      <c r="S223">
        <v>4</v>
      </c>
      <c r="T223" t="s">
        <v>49</v>
      </c>
    </row>
    <row r="224" spans="1:19">
      <c r="A224">
        <v>223</v>
      </c>
      <c r="B224" s="14">
        <v>45795</v>
      </c>
      <c r="C224" t="s">
        <v>55</v>
      </c>
      <c r="D224" t="s">
        <v>83</v>
      </c>
      <c r="E224" t="s">
        <v>95</v>
      </c>
      <c r="G224" t="s">
        <v>88</v>
      </c>
      <c r="H224" t="s">
        <v>25</v>
      </c>
      <c r="I224" t="s">
        <v>38</v>
      </c>
      <c r="J224" t="s">
        <v>39</v>
      </c>
      <c r="K224">
        <v>27</v>
      </c>
      <c r="L224">
        <v>75.39</v>
      </c>
      <c r="O224" t="s">
        <v>54</v>
      </c>
      <c r="P224" t="s">
        <v>71</v>
      </c>
      <c r="Q224" t="s">
        <v>76</v>
      </c>
      <c r="R224" t="s">
        <v>31</v>
      </c>
      <c r="S224">
        <v>3</v>
      </c>
    </row>
    <row r="225" spans="1:19">
      <c r="A225">
        <v>224</v>
      </c>
      <c r="B225" s="14">
        <v>45727</v>
      </c>
      <c r="C225" t="s">
        <v>77</v>
      </c>
      <c r="D225" t="s">
        <v>61</v>
      </c>
      <c r="E225" t="s">
        <v>99</v>
      </c>
      <c r="F225" t="s">
        <v>36</v>
      </c>
      <c r="G225" t="s">
        <v>88</v>
      </c>
      <c r="H225" t="s">
        <v>25</v>
      </c>
      <c r="I225" t="s">
        <v>26</v>
      </c>
      <c r="J225" t="s">
        <v>39</v>
      </c>
      <c r="K225">
        <v>4</v>
      </c>
      <c r="L225">
        <v>28.7</v>
      </c>
      <c r="M225">
        <v>15</v>
      </c>
      <c r="O225" t="s">
        <v>28</v>
      </c>
      <c r="P225" t="s">
        <v>75</v>
      </c>
      <c r="Q225" t="s">
        <v>76</v>
      </c>
      <c r="R225" t="s">
        <v>42</v>
      </c>
      <c r="S225">
        <v>3</v>
      </c>
    </row>
    <row r="226" spans="1:18">
      <c r="A226">
        <v>225</v>
      </c>
      <c r="B226" s="14">
        <v>45916</v>
      </c>
      <c r="C226" t="s">
        <v>85</v>
      </c>
      <c r="D226" t="s">
        <v>51</v>
      </c>
      <c r="E226" t="s">
        <v>119</v>
      </c>
      <c r="G226" t="s">
        <v>88</v>
      </c>
      <c r="H226" t="s">
        <v>25</v>
      </c>
      <c r="I226" t="s">
        <v>53</v>
      </c>
      <c r="J226" t="s">
        <v>63</v>
      </c>
      <c r="K226">
        <v>39</v>
      </c>
      <c r="L226">
        <v>47.38</v>
      </c>
      <c r="M226">
        <v>15</v>
      </c>
      <c r="O226" t="s">
        <v>54</v>
      </c>
      <c r="P226" t="s">
        <v>75</v>
      </c>
      <c r="Q226" t="s">
        <v>76</v>
      </c>
      <c r="R226" t="s">
        <v>42</v>
      </c>
    </row>
    <row r="227" spans="1:20">
      <c r="A227">
        <v>226</v>
      </c>
      <c r="B227" s="14">
        <v>45803</v>
      </c>
      <c r="C227" t="s">
        <v>20</v>
      </c>
      <c r="D227" t="s">
        <v>83</v>
      </c>
      <c r="E227" t="s">
        <v>117</v>
      </c>
      <c r="F227" t="s">
        <v>91</v>
      </c>
      <c r="G227" t="s">
        <v>68</v>
      </c>
      <c r="H227" t="s">
        <v>25</v>
      </c>
      <c r="I227" t="s">
        <v>26</v>
      </c>
      <c r="J227" t="s">
        <v>39</v>
      </c>
      <c r="K227">
        <v>44</v>
      </c>
      <c r="L227">
        <v>24.64</v>
      </c>
      <c r="M227">
        <v>15</v>
      </c>
      <c r="O227" t="s">
        <v>28</v>
      </c>
      <c r="P227" t="s">
        <v>71</v>
      </c>
      <c r="Q227" t="s">
        <v>65</v>
      </c>
      <c r="R227" t="s">
        <v>31</v>
      </c>
      <c r="T227" t="s">
        <v>32</v>
      </c>
    </row>
    <row r="228" spans="1:18">
      <c r="A228">
        <v>227</v>
      </c>
      <c r="B228" s="14">
        <v>45965</v>
      </c>
      <c r="C228" t="s">
        <v>77</v>
      </c>
      <c r="D228" t="s">
        <v>21</v>
      </c>
      <c r="E228" t="s">
        <v>107</v>
      </c>
      <c r="F228" t="s">
        <v>23</v>
      </c>
      <c r="G228" t="s">
        <v>68</v>
      </c>
      <c r="H228" t="s">
        <v>46</v>
      </c>
      <c r="I228" t="s">
        <v>53</v>
      </c>
      <c r="J228" t="s">
        <v>63</v>
      </c>
      <c r="K228">
        <v>25</v>
      </c>
      <c r="L228">
        <v>85.9</v>
      </c>
      <c r="M228">
        <v>15</v>
      </c>
      <c r="O228" t="s">
        <v>54</v>
      </c>
      <c r="P228" t="s">
        <v>64</v>
      </c>
      <c r="Q228" t="s">
        <v>65</v>
      </c>
      <c r="R228" t="s">
        <v>42</v>
      </c>
    </row>
    <row r="229" spans="1:20">
      <c r="A229">
        <v>228</v>
      </c>
      <c r="B229" s="14">
        <v>45957</v>
      </c>
      <c r="C229" t="s">
        <v>20</v>
      </c>
      <c r="D229" t="s">
        <v>21</v>
      </c>
      <c r="E229" t="s">
        <v>111</v>
      </c>
      <c r="G229" t="s">
        <v>45</v>
      </c>
      <c r="H229" t="s">
        <v>37</v>
      </c>
      <c r="I229" t="s">
        <v>47</v>
      </c>
      <c r="J229" t="s">
        <v>48</v>
      </c>
      <c r="K229">
        <v>20</v>
      </c>
      <c r="L229">
        <v>70.02</v>
      </c>
      <c r="M229">
        <v>15</v>
      </c>
      <c r="O229" t="s">
        <v>28</v>
      </c>
      <c r="P229" t="s">
        <v>75</v>
      </c>
      <c r="Q229" t="s">
        <v>41</v>
      </c>
      <c r="S229">
        <v>3</v>
      </c>
      <c r="T229" t="s">
        <v>49</v>
      </c>
    </row>
    <row r="230" spans="1:19">
      <c r="A230">
        <v>229</v>
      </c>
      <c r="B230" s="14">
        <v>45791</v>
      </c>
      <c r="C230" t="s">
        <v>55</v>
      </c>
      <c r="D230" t="s">
        <v>51</v>
      </c>
      <c r="E230" t="s">
        <v>109</v>
      </c>
      <c r="F230" t="s">
        <v>23</v>
      </c>
      <c r="G230" t="s">
        <v>24</v>
      </c>
      <c r="H230" t="s">
        <v>25</v>
      </c>
      <c r="I230" t="s">
        <v>47</v>
      </c>
      <c r="J230" t="s">
        <v>39</v>
      </c>
      <c r="K230">
        <v>4</v>
      </c>
      <c r="L230">
        <v>81.52</v>
      </c>
      <c r="O230" t="s">
        <v>59</v>
      </c>
      <c r="P230" t="s">
        <v>75</v>
      </c>
      <c r="Q230" t="s">
        <v>76</v>
      </c>
      <c r="S230">
        <v>1</v>
      </c>
    </row>
    <row r="231" spans="1:20">
      <c r="A231">
        <v>230</v>
      </c>
      <c r="B231" s="14">
        <v>45809</v>
      </c>
      <c r="C231" t="s">
        <v>60</v>
      </c>
      <c r="D231" t="s">
        <v>83</v>
      </c>
      <c r="E231" t="s">
        <v>87</v>
      </c>
      <c r="F231" t="s">
        <v>70</v>
      </c>
      <c r="H231" t="s">
        <v>58</v>
      </c>
      <c r="I231" t="s">
        <v>47</v>
      </c>
      <c r="J231" t="s">
        <v>39</v>
      </c>
      <c r="K231">
        <v>22</v>
      </c>
      <c r="L231">
        <v>74.02</v>
      </c>
      <c r="M231">
        <v>5</v>
      </c>
      <c r="O231" t="s">
        <v>59</v>
      </c>
      <c r="P231" t="s">
        <v>75</v>
      </c>
      <c r="Q231" t="s">
        <v>41</v>
      </c>
      <c r="R231" t="s">
        <v>31</v>
      </c>
      <c r="T231" t="s">
        <v>32</v>
      </c>
    </row>
    <row r="232" spans="1:20">
      <c r="A232">
        <v>231</v>
      </c>
      <c r="B232" s="14">
        <v>45808</v>
      </c>
      <c r="C232" t="s">
        <v>20</v>
      </c>
      <c r="D232" t="s">
        <v>83</v>
      </c>
      <c r="E232" t="s">
        <v>89</v>
      </c>
      <c r="G232" t="s">
        <v>45</v>
      </c>
      <c r="H232" t="s">
        <v>37</v>
      </c>
      <c r="I232" t="s">
        <v>26</v>
      </c>
      <c r="J232" t="s">
        <v>48</v>
      </c>
      <c r="K232">
        <v>42</v>
      </c>
      <c r="L232">
        <v>13.48</v>
      </c>
      <c r="M232">
        <v>10</v>
      </c>
      <c r="O232" t="s">
        <v>40</v>
      </c>
      <c r="P232" t="s">
        <v>75</v>
      </c>
      <c r="Q232" t="s">
        <v>65</v>
      </c>
      <c r="R232" t="s">
        <v>42</v>
      </c>
      <c r="S232">
        <v>3</v>
      </c>
      <c r="T232" t="s">
        <v>49</v>
      </c>
    </row>
    <row r="233" spans="1:20">
      <c r="A233">
        <v>232</v>
      </c>
      <c r="B233" s="14">
        <v>45957</v>
      </c>
      <c r="C233" t="s">
        <v>60</v>
      </c>
      <c r="D233" t="s">
        <v>83</v>
      </c>
      <c r="E233" t="s">
        <v>119</v>
      </c>
      <c r="F233" t="s">
        <v>70</v>
      </c>
      <c r="G233" t="s">
        <v>88</v>
      </c>
      <c r="H233" t="s">
        <v>37</v>
      </c>
      <c r="I233" t="s">
        <v>47</v>
      </c>
      <c r="J233" t="s">
        <v>27</v>
      </c>
      <c r="K233">
        <v>31</v>
      </c>
      <c r="L233">
        <v>89.5</v>
      </c>
      <c r="O233" t="s">
        <v>28</v>
      </c>
      <c r="P233" t="s">
        <v>29</v>
      </c>
      <c r="Q233" t="s">
        <v>41</v>
      </c>
      <c r="R233" t="s">
        <v>42</v>
      </c>
      <c r="S233">
        <v>1</v>
      </c>
      <c r="T233" t="s">
        <v>32</v>
      </c>
    </row>
    <row r="234" spans="1:20">
      <c r="A234">
        <v>233</v>
      </c>
      <c r="B234" s="14">
        <v>45728</v>
      </c>
      <c r="C234" t="s">
        <v>50</v>
      </c>
      <c r="D234" t="s">
        <v>56</v>
      </c>
      <c r="E234" t="s">
        <v>97</v>
      </c>
      <c r="F234" t="s">
        <v>36</v>
      </c>
      <c r="G234" t="s">
        <v>81</v>
      </c>
      <c r="H234" t="s">
        <v>25</v>
      </c>
      <c r="I234" t="s">
        <v>53</v>
      </c>
      <c r="J234" t="s">
        <v>39</v>
      </c>
      <c r="K234">
        <v>50</v>
      </c>
      <c r="L234">
        <v>12.68</v>
      </c>
      <c r="M234">
        <v>10</v>
      </c>
      <c r="O234" t="s">
        <v>40</v>
      </c>
      <c r="P234" t="s">
        <v>75</v>
      </c>
      <c r="Q234" t="s">
        <v>30</v>
      </c>
      <c r="R234" t="s">
        <v>31</v>
      </c>
      <c r="S234">
        <v>4</v>
      </c>
      <c r="T234" t="s">
        <v>49</v>
      </c>
    </row>
    <row r="235" spans="1:19">
      <c r="A235">
        <v>234</v>
      </c>
      <c r="B235" s="14">
        <v>45765</v>
      </c>
      <c r="C235" t="s">
        <v>77</v>
      </c>
      <c r="D235" t="s">
        <v>61</v>
      </c>
      <c r="E235" t="s">
        <v>120</v>
      </c>
      <c r="F235" t="s">
        <v>36</v>
      </c>
      <c r="G235" t="s">
        <v>24</v>
      </c>
      <c r="H235" t="s">
        <v>73</v>
      </c>
      <c r="I235" t="s">
        <v>74</v>
      </c>
      <c r="J235" t="s">
        <v>39</v>
      </c>
      <c r="K235">
        <v>40</v>
      </c>
      <c r="L235">
        <v>46.2</v>
      </c>
      <c r="M235">
        <v>15</v>
      </c>
      <c r="O235" t="s">
        <v>59</v>
      </c>
      <c r="P235" t="s">
        <v>29</v>
      </c>
      <c r="Q235" t="s">
        <v>65</v>
      </c>
      <c r="R235" t="s">
        <v>42</v>
      </c>
      <c r="S235">
        <v>1</v>
      </c>
    </row>
    <row r="236" spans="1:19">
      <c r="A236">
        <v>235</v>
      </c>
      <c r="B236" s="14">
        <v>45931</v>
      </c>
      <c r="C236" t="s">
        <v>50</v>
      </c>
      <c r="D236" t="s">
        <v>51</v>
      </c>
      <c r="E236" t="s">
        <v>116</v>
      </c>
      <c r="F236" t="s">
        <v>44</v>
      </c>
      <c r="G236" t="s">
        <v>45</v>
      </c>
      <c r="H236" t="s">
        <v>37</v>
      </c>
      <c r="I236" t="s">
        <v>26</v>
      </c>
      <c r="J236" t="s">
        <v>27</v>
      </c>
      <c r="K236">
        <v>44</v>
      </c>
      <c r="L236">
        <v>5.39</v>
      </c>
      <c r="M236">
        <v>5</v>
      </c>
      <c r="O236" t="s">
        <v>40</v>
      </c>
      <c r="P236" t="s">
        <v>75</v>
      </c>
      <c r="Q236" t="s">
        <v>41</v>
      </c>
      <c r="R236" t="s">
        <v>31</v>
      </c>
      <c r="S236">
        <v>1</v>
      </c>
    </row>
    <row r="237" spans="1:20">
      <c r="A237">
        <v>236</v>
      </c>
      <c r="B237" s="14">
        <v>45915</v>
      </c>
      <c r="C237" t="s">
        <v>33</v>
      </c>
      <c r="D237" t="s">
        <v>56</v>
      </c>
      <c r="E237" t="s">
        <v>120</v>
      </c>
      <c r="F237" t="s">
        <v>44</v>
      </c>
      <c r="G237" t="s">
        <v>88</v>
      </c>
      <c r="H237" t="s">
        <v>46</v>
      </c>
      <c r="I237" t="s">
        <v>53</v>
      </c>
      <c r="J237" t="s">
        <v>63</v>
      </c>
      <c r="K237">
        <v>47</v>
      </c>
      <c r="L237">
        <v>54.43</v>
      </c>
      <c r="O237" t="s">
        <v>54</v>
      </c>
      <c r="P237" t="s">
        <v>29</v>
      </c>
      <c r="Q237" t="s">
        <v>76</v>
      </c>
      <c r="R237" t="s">
        <v>42</v>
      </c>
      <c r="S237">
        <v>4</v>
      </c>
      <c r="T237" t="s">
        <v>49</v>
      </c>
    </row>
    <row r="238" spans="1:17">
      <c r="A238">
        <v>237</v>
      </c>
      <c r="B238" s="14">
        <v>45754</v>
      </c>
      <c r="C238" t="s">
        <v>50</v>
      </c>
      <c r="D238" t="s">
        <v>61</v>
      </c>
      <c r="E238" t="s">
        <v>87</v>
      </c>
      <c r="F238" t="s">
        <v>44</v>
      </c>
      <c r="G238" t="s">
        <v>24</v>
      </c>
      <c r="H238" t="s">
        <v>25</v>
      </c>
      <c r="I238" t="s">
        <v>26</v>
      </c>
      <c r="J238" t="s">
        <v>39</v>
      </c>
      <c r="K238">
        <v>47</v>
      </c>
      <c r="L238">
        <v>7.08</v>
      </c>
      <c r="O238" t="s">
        <v>40</v>
      </c>
      <c r="P238" t="s">
        <v>71</v>
      </c>
      <c r="Q238" t="s">
        <v>41</v>
      </c>
    </row>
    <row r="239" spans="1:19">
      <c r="A239">
        <v>238</v>
      </c>
      <c r="B239" s="14">
        <v>45850</v>
      </c>
      <c r="C239" t="s">
        <v>55</v>
      </c>
      <c r="D239" t="s">
        <v>56</v>
      </c>
      <c r="E239" t="s">
        <v>62</v>
      </c>
      <c r="F239" t="s">
        <v>36</v>
      </c>
      <c r="G239" t="s">
        <v>68</v>
      </c>
      <c r="H239" t="s">
        <v>58</v>
      </c>
      <c r="I239" t="s">
        <v>47</v>
      </c>
      <c r="J239" t="s">
        <v>27</v>
      </c>
      <c r="K239">
        <v>43</v>
      </c>
      <c r="L239">
        <v>15.27</v>
      </c>
      <c r="M239">
        <v>0</v>
      </c>
      <c r="O239" t="s">
        <v>28</v>
      </c>
      <c r="P239" t="s">
        <v>71</v>
      </c>
      <c r="Q239" t="s">
        <v>65</v>
      </c>
      <c r="R239" t="s">
        <v>42</v>
      </c>
      <c r="S239">
        <v>4</v>
      </c>
    </row>
    <row r="240" spans="1:19">
      <c r="A240">
        <v>239</v>
      </c>
      <c r="B240" s="14">
        <v>45938</v>
      </c>
      <c r="C240" t="s">
        <v>60</v>
      </c>
      <c r="D240" t="s">
        <v>83</v>
      </c>
      <c r="E240" t="s">
        <v>57</v>
      </c>
      <c r="F240" t="s">
        <v>91</v>
      </c>
      <c r="G240" t="s">
        <v>24</v>
      </c>
      <c r="H240" t="s">
        <v>58</v>
      </c>
      <c r="I240" t="s">
        <v>53</v>
      </c>
      <c r="J240" t="s">
        <v>63</v>
      </c>
      <c r="K240">
        <v>43</v>
      </c>
      <c r="L240">
        <v>14.59</v>
      </c>
      <c r="O240" t="s">
        <v>54</v>
      </c>
      <c r="P240" t="s">
        <v>64</v>
      </c>
      <c r="Q240" t="s">
        <v>65</v>
      </c>
      <c r="R240" t="s">
        <v>31</v>
      </c>
      <c r="S240">
        <v>5</v>
      </c>
    </row>
    <row r="241" spans="1:19">
      <c r="A241">
        <v>240</v>
      </c>
      <c r="B241" s="14">
        <v>45802</v>
      </c>
      <c r="C241" t="s">
        <v>20</v>
      </c>
      <c r="D241" t="s">
        <v>61</v>
      </c>
      <c r="E241" t="s">
        <v>106</v>
      </c>
      <c r="F241" t="s">
        <v>70</v>
      </c>
      <c r="G241" t="s">
        <v>24</v>
      </c>
      <c r="H241" t="s">
        <v>37</v>
      </c>
      <c r="I241" t="s">
        <v>26</v>
      </c>
      <c r="J241" t="s">
        <v>48</v>
      </c>
      <c r="K241">
        <v>34</v>
      </c>
      <c r="L241">
        <v>97.45</v>
      </c>
      <c r="M241">
        <v>10</v>
      </c>
      <c r="O241" t="s">
        <v>59</v>
      </c>
      <c r="P241" t="s">
        <v>75</v>
      </c>
      <c r="Q241" t="s">
        <v>76</v>
      </c>
      <c r="R241" t="s">
        <v>31</v>
      </c>
      <c r="S241">
        <v>5</v>
      </c>
    </row>
    <row r="242" spans="1:20">
      <c r="A242">
        <v>241</v>
      </c>
      <c r="B242" s="14">
        <v>45764</v>
      </c>
      <c r="C242" t="s">
        <v>55</v>
      </c>
      <c r="D242" t="s">
        <v>83</v>
      </c>
      <c r="E242" t="s">
        <v>82</v>
      </c>
      <c r="F242" t="s">
        <v>91</v>
      </c>
      <c r="G242" t="s">
        <v>88</v>
      </c>
      <c r="H242" t="s">
        <v>58</v>
      </c>
      <c r="I242" t="s">
        <v>74</v>
      </c>
      <c r="J242" t="s">
        <v>27</v>
      </c>
      <c r="K242">
        <v>37</v>
      </c>
      <c r="L242">
        <v>68.56</v>
      </c>
      <c r="M242">
        <v>5</v>
      </c>
      <c r="O242" t="s">
        <v>28</v>
      </c>
      <c r="P242" t="s">
        <v>71</v>
      </c>
      <c r="Q242" t="s">
        <v>30</v>
      </c>
      <c r="R242" t="s">
        <v>42</v>
      </c>
      <c r="T242" t="s">
        <v>32</v>
      </c>
    </row>
    <row r="243" spans="1:20">
      <c r="A243">
        <v>242</v>
      </c>
      <c r="B243" s="14">
        <v>45891</v>
      </c>
      <c r="C243" t="s">
        <v>60</v>
      </c>
      <c r="D243" t="s">
        <v>56</v>
      </c>
      <c r="E243" t="s">
        <v>93</v>
      </c>
      <c r="F243" t="s">
        <v>44</v>
      </c>
      <c r="G243" t="s">
        <v>88</v>
      </c>
      <c r="H243" t="s">
        <v>25</v>
      </c>
      <c r="I243" t="s">
        <v>74</v>
      </c>
      <c r="J243" t="s">
        <v>48</v>
      </c>
      <c r="K243">
        <v>24</v>
      </c>
      <c r="L243">
        <v>81.15</v>
      </c>
      <c r="M243">
        <v>10</v>
      </c>
      <c r="O243" t="s">
        <v>59</v>
      </c>
      <c r="P243" t="s">
        <v>71</v>
      </c>
      <c r="Q243" t="s">
        <v>30</v>
      </c>
      <c r="R243" t="s">
        <v>31</v>
      </c>
      <c r="S243">
        <v>1</v>
      </c>
      <c r="T243" t="s">
        <v>32</v>
      </c>
    </row>
    <row r="244" spans="1:19">
      <c r="A244">
        <v>243</v>
      </c>
      <c r="B244" s="14">
        <v>45997</v>
      </c>
      <c r="C244" t="s">
        <v>55</v>
      </c>
      <c r="D244" t="s">
        <v>66</v>
      </c>
      <c r="E244" t="s">
        <v>82</v>
      </c>
      <c r="F244" t="s">
        <v>23</v>
      </c>
      <c r="G244" t="s">
        <v>81</v>
      </c>
      <c r="H244" t="s">
        <v>37</v>
      </c>
      <c r="I244" t="s">
        <v>53</v>
      </c>
      <c r="J244" t="s">
        <v>27</v>
      </c>
      <c r="K244">
        <v>24</v>
      </c>
      <c r="L244">
        <v>82.42</v>
      </c>
      <c r="M244">
        <v>5</v>
      </c>
      <c r="O244" t="s">
        <v>28</v>
      </c>
      <c r="P244" t="s">
        <v>29</v>
      </c>
      <c r="Q244" t="s">
        <v>65</v>
      </c>
      <c r="R244" t="s">
        <v>42</v>
      </c>
      <c r="S244">
        <v>3</v>
      </c>
    </row>
    <row r="245" spans="1:20">
      <c r="A245">
        <v>244</v>
      </c>
      <c r="B245" s="14">
        <v>46011</v>
      </c>
      <c r="C245" t="s">
        <v>77</v>
      </c>
      <c r="D245" t="s">
        <v>83</v>
      </c>
      <c r="E245" t="s">
        <v>97</v>
      </c>
      <c r="G245" t="s">
        <v>24</v>
      </c>
      <c r="H245" t="s">
        <v>58</v>
      </c>
      <c r="I245" t="s">
        <v>26</v>
      </c>
      <c r="J245" t="s">
        <v>27</v>
      </c>
      <c r="K245">
        <v>11</v>
      </c>
      <c r="L245">
        <v>14.85</v>
      </c>
      <c r="O245" t="s">
        <v>59</v>
      </c>
      <c r="P245" t="s">
        <v>29</v>
      </c>
      <c r="Q245" t="s">
        <v>76</v>
      </c>
      <c r="S245">
        <v>4</v>
      </c>
      <c r="T245" t="s">
        <v>49</v>
      </c>
    </row>
    <row r="246" spans="1:20">
      <c r="A246">
        <v>245</v>
      </c>
      <c r="B246" s="14">
        <v>45971</v>
      </c>
      <c r="C246" t="s">
        <v>20</v>
      </c>
      <c r="D246" t="s">
        <v>61</v>
      </c>
      <c r="E246" t="s">
        <v>69</v>
      </c>
      <c r="G246" t="s">
        <v>24</v>
      </c>
      <c r="H246" t="s">
        <v>73</v>
      </c>
      <c r="I246" t="s">
        <v>38</v>
      </c>
      <c r="J246" t="s">
        <v>27</v>
      </c>
      <c r="K246">
        <v>27</v>
      </c>
      <c r="L246">
        <v>46.87</v>
      </c>
      <c r="M246">
        <v>0</v>
      </c>
      <c r="O246" t="s">
        <v>54</v>
      </c>
      <c r="P246" t="s">
        <v>75</v>
      </c>
      <c r="Q246" t="s">
        <v>30</v>
      </c>
      <c r="T246" t="s">
        <v>32</v>
      </c>
    </row>
    <row r="247" spans="1:19">
      <c r="A247">
        <v>246</v>
      </c>
      <c r="B247" s="14">
        <v>46000</v>
      </c>
      <c r="C247" t="s">
        <v>77</v>
      </c>
      <c r="D247" t="s">
        <v>56</v>
      </c>
      <c r="E247" t="s">
        <v>99</v>
      </c>
      <c r="F247" t="s">
        <v>36</v>
      </c>
      <c r="H247" t="s">
        <v>37</v>
      </c>
      <c r="I247" t="s">
        <v>74</v>
      </c>
      <c r="J247" t="s">
        <v>63</v>
      </c>
      <c r="K247">
        <v>43</v>
      </c>
      <c r="L247">
        <v>74.03</v>
      </c>
      <c r="M247">
        <v>15</v>
      </c>
      <c r="O247" t="s">
        <v>54</v>
      </c>
      <c r="P247" t="s">
        <v>29</v>
      </c>
      <c r="Q247" t="s">
        <v>76</v>
      </c>
      <c r="S247">
        <v>5</v>
      </c>
    </row>
    <row r="248" spans="1:19">
      <c r="A248">
        <v>247</v>
      </c>
      <c r="B248" s="14">
        <v>45663</v>
      </c>
      <c r="C248" t="s">
        <v>55</v>
      </c>
      <c r="D248" t="s">
        <v>66</v>
      </c>
      <c r="E248" t="s">
        <v>111</v>
      </c>
      <c r="F248" t="s">
        <v>70</v>
      </c>
      <c r="G248" t="s">
        <v>81</v>
      </c>
      <c r="H248" t="s">
        <v>25</v>
      </c>
      <c r="I248" t="s">
        <v>74</v>
      </c>
      <c r="J248" t="s">
        <v>63</v>
      </c>
      <c r="K248">
        <v>21</v>
      </c>
      <c r="L248">
        <v>27.88</v>
      </c>
      <c r="M248">
        <v>10</v>
      </c>
      <c r="O248" t="s">
        <v>28</v>
      </c>
      <c r="P248" t="s">
        <v>64</v>
      </c>
      <c r="Q248" t="s">
        <v>65</v>
      </c>
      <c r="R248" t="s">
        <v>42</v>
      </c>
      <c r="S248">
        <v>2</v>
      </c>
    </row>
    <row r="249" spans="1:19">
      <c r="A249">
        <v>248</v>
      </c>
      <c r="B249" s="14">
        <v>45893</v>
      </c>
      <c r="C249" t="s">
        <v>85</v>
      </c>
      <c r="D249" t="s">
        <v>61</v>
      </c>
      <c r="E249" t="s">
        <v>100</v>
      </c>
      <c r="F249" t="s">
        <v>70</v>
      </c>
      <c r="G249" t="s">
        <v>88</v>
      </c>
      <c r="H249" t="s">
        <v>73</v>
      </c>
      <c r="I249" t="s">
        <v>38</v>
      </c>
      <c r="J249" t="s">
        <v>48</v>
      </c>
      <c r="K249">
        <v>8</v>
      </c>
      <c r="L249">
        <v>98.16</v>
      </c>
      <c r="M249">
        <v>0</v>
      </c>
      <c r="O249" t="s">
        <v>28</v>
      </c>
      <c r="P249" t="s">
        <v>29</v>
      </c>
      <c r="Q249" t="s">
        <v>65</v>
      </c>
      <c r="R249" t="s">
        <v>31</v>
      </c>
      <c r="S249">
        <v>5</v>
      </c>
    </row>
    <row r="250" spans="1:19">
      <c r="A250">
        <v>249</v>
      </c>
      <c r="B250" s="14">
        <v>45704</v>
      </c>
      <c r="C250" t="s">
        <v>77</v>
      </c>
      <c r="D250" t="s">
        <v>34</v>
      </c>
      <c r="E250" t="s">
        <v>123</v>
      </c>
      <c r="G250" t="s">
        <v>45</v>
      </c>
      <c r="H250" t="s">
        <v>37</v>
      </c>
      <c r="I250" t="s">
        <v>47</v>
      </c>
      <c r="J250" t="s">
        <v>39</v>
      </c>
      <c r="K250">
        <v>42</v>
      </c>
      <c r="L250">
        <v>68.79</v>
      </c>
      <c r="M250">
        <v>10</v>
      </c>
      <c r="O250" t="s">
        <v>54</v>
      </c>
      <c r="P250" t="s">
        <v>71</v>
      </c>
      <c r="Q250" t="s">
        <v>76</v>
      </c>
      <c r="R250" t="s">
        <v>42</v>
      </c>
      <c r="S250">
        <v>3</v>
      </c>
    </row>
    <row r="251" spans="1:20">
      <c r="A251">
        <v>250</v>
      </c>
      <c r="B251" s="14">
        <v>45994</v>
      </c>
      <c r="C251" t="s">
        <v>60</v>
      </c>
      <c r="D251" t="s">
        <v>51</v>
      </c>
      <c r="E251" t="s">
        <v>80</v>
      </c>
      <c r="F251" t="s">
        <v>44</v>
      </c>
      <c r="G251" t="s">
        <v>88</v>
      </c>
      <c r="H251" t="s">
        <v>25</v>
      </c>
      <c r="I251" t="s">
        <v>74</v>
      </c>
      <c r="J251" t="s">
        <v>48</v>
      </c>
      <c r="K251">
        <v>23</v>
      </c>
      <c r="L251">
        <v>83.84</v>
      </c>
      <c r="M251">
        <v>10</v>
      </c>
      <c r="O251" t="s">
        <v>54</v>
      </c>
      <c r="P251" t="s">
        <v>71</v>
      </c>
      <c r="Q251" t="s">
        <v>30</v>
      </c>
      <c r="R251" t="s">
        <v>31</v>
      </c>
      <c r="S251">
        <v>4</v>
      </c>
      <c r="T251" t="s">
        <v>32</v>
      </c>
    </row>
    <row r="252" spans="1:18">
      <c r="A252">
        <v>251</v>
      </c>
      <c r="B252" s="14">
        <v>45867</v>
      </c>
      <c r="C252" t="s">
        <v>20</v>
      </c>
      <c r="D252" t="s">
        <v>56</v>
      </c>
      <c r="E252" t="s">
        <v>123</v>
      </c>
      <c r="F252" t="s">
        <v>91</v>
      </c>
      <c r="G252" t="s">
        <v>24</v>
      </c>
      <c r="H252" t="s">
        <v>58</v>
      </c>
      <c r="I252" t="s">
        <v>38</v>
      </c>
      <c r="J252" t="s">
        <v>39</v>
      </c>
      <c r="K252">
        <v>30</v>
      </c>
      <c r="L252">
        <v>83.33</v>
      </c>
      <c r="M252">
        <v>5</v>
      </c>
      <c r="O252" t="s">
        <v>54</v>
      </c>
      <c r="P252" t="s">
        <v>71</v>
      </c>
      <c r="Q252" t="s">
        <v>65</v>
      </c>
      <c r="R252" t="s">
        <v>31</v>
      </c>
    </row>
    <row r="253" spans="1:19">
      <c r="A253">
        <v>252</v>
      </c>
      <c r="B253" s="14">
        <v>45888</v>
      </c>
      <c r="C253" t="s">
        <v>85</v>
      </c>
      <c r="D253" t="s">
        <v>51</v>
      </c>
      <c r="E253" t="s">
        <v>98</v>
      </c>
      <c r="F253" t="s">
        <v>36</v>
      </c>
      <c r="G253" t="s">
        <v>24</v>
      </c>
      <c r="H253" t="s">
        <v>73</v>
      </c>
      <c r="I253" t="s">
        <v>74</v>
      </c>
      <c r="J253" t="s">
        <v>27</v>
      </c>
      <c r="K253">
        <v>36</v>
      </c>
      <c r="L253">
        <v>93.85</v>
      </c>
      <c r="O253" t="s">
        <v>59</v>
      </c>
      <c r="P253" t="s">
        <v>64</v>
      </c>
      <c r="Q253" t="s">
        <v>76</v>
      </c>
      <c r="S253">
        <v>2</v>
      </c>
    </row>
    <row r="254" spans="1:20">
      <c r="A254">
        <v>253</v>
      </c>
      <c r="B254" s="14">
        <v>45856</v>
      </c>
      <c r="C254" t="s">
        <v>55</v>
      </c>
      <c r="D254" t="s">
        <v>34</v>
      </c>
      <c r="E254" t="s">
        <v>95</v>
      </c>
      <c r="F254" t="s">
        <v>23</v>
      </c>
      <c r="G254" t="s">
        <v>68</v>
      </c>
      <c r="H254" t="s">
        <v>73</v>
      </c>
      <c r="I254" t="s">
        <v>38</v>
      </c>
      <c r="J254" t="s">
        <v>39</v>
      </c>
      <c r="K254">
        <v>18</v>
      </c>
      <c r="L254">
        <v>42.8</v>
      </c>
      <c r="M254">
        <v>10</v>
      </c>
      <c r="O254" t="s">
        <v>54</v>
      </c>
      <c r="P254" t="s">
        <v>29</v>
      </c>
      <c r="Q254" t="s">
        <v>76</v>
      </c>
      <c r="R254" t="s">
        <v>31</v>
      </c>
      <c r="S254">
        <v>4</v>
      </c>
      <c r="T254" t="s">
        <v>49</v>
      </c>
    </row>
    <row r="255" spans="1:20">
      <c r="A255">
        <v>254</v>
      </c>
      <c r="B255" s="14">
        <v>46017</v>
      </c>
      <c r="C255" t="s">
        <v>33</v>
      </c>
      <c r="D255" t="s">
        <v>61</v>
      </c>
      <c r="E255" t="s">
        <v>108</v>
      </c>
      <c r="H255" t="s">
        <v>37</v>
      </c>
      <c r="I255" t="s">
        <v>26</v>
      </c>
      <c r="J255" t="s">
        <v>39</v>
      </c>
      <c r="K255">
        <v>14</v>
      </c>
      <c r="L255">
        <v>64.3</v>
      </c>
      <c r="M255">
        <v>10</v>
      </c>
      <c r="O255" t="s">
        <v>54</v>
      </c>
      <c r="P255" t="s">
        <v>64</v>
      </c>
      <c r="Q255" t="s">
        <v>76</v>
      </c>
      <c r="S255">
        <v>5</v>
      </c>
      <c r="T255" t="s">
        <v>49</v>
      </c>
    </row>
    <row r="256" spans="1:19">
      <c r="A256">
        <v>255</v>
      </c>
      <c r="B256" s="14">
        <v>46021</v>
      </c>
      <c r="C256" t="s">
        <v>20</v>
      </c>
      <c r="D256" t="s">
        <v>61</v>
      </c>
      <c r="E256" t="s">
        <v>84</v>
      </c>
      <c r="F256" t="s">
        <v>36</v>
      </c>
      <c r="G256" t="s">
        <v>81</v>
      </c>
      <c r="H256" t="s">
        <v>37</v>
      </c>
      <c r="I256" t="s">
        <v>47</v>
      </c>
      <c r="J256" t="s">
        <v>63</v>
      </c>
      <c r="K256">
        <v>44</v>
      </c>
      <c r="L256">
        <v>76.05</v>
      </c>
      <c r="O256" t="s">
        <v>54</v>
      </c>
      <c r="P256" t="s">
        <v>29</v>
      </c>
      <c r="Q256" t="s">
        <v>30</v>
      </c>
      <c r="S256">
        <v>1</v>
      </c>
    </row>
    <row r="257" spans="1:19">
      <c r="A257">
        <v>256</v>
      </c>
      <c r="B257" s="14">
        <v>45853</v>
      </c>
      <c r="C257" t="s">
        <v>50</v>
      </c>
      <c r="D257" t="s">
        <v>21</v>
      </c>
      <c r="E257" t="s">
        <v>112</v>
      </c>
      <c r="F257" t="s">
        <v>44</v>
      </c>
      <c r="G257" t="s">
        <v>24</v>
      </c>
      <c r="H257" t="s">
        <v>46</v>
      </c>
      <c r="I257" t="s">
        <v>26</v>
      </c>
      <c r="J257" t="s">
        <v>48</v>
      </c>
      <c r="K257">
        <v>44</v>
      </c>
      <c r="L257">
        <v>28.8</v>
      </c>
      <c r="M257">
        <v>0</v>
      </c>
      <c r="O257" t="s">
        <v>54</v>
      </c>
      <c r="P257" t="s">
        <v>64</v>
      </c>
      <c r="Q257" t="s">
        <v>30</v>
      </c>
      <c r="R257" t="s">
        <v>42</v>
      </c>
      <c r="S257">
        <v>4</v>
      </c>
    </row>
    <row r="258" spans="1:20">
      <c r="A258">
        <v>257</v>
      </c>
      <c r="B258" s="14">
        <v>45973</v>
      </c>
      <c r="C258" t="s">
        <v>77</v>
      </c>
      <c r="D258" t="s">
        <v>51</v>
      </c>
      <c r="E258" t="s">
        <v>22</v>
      </c>
      <c r="F258" t="s">
        <v>36</v>
      </c>
      <c r="G258" t="s">
        <v>24</v>
      </c>
      <c r="H258" t="s">
        <v>37</v>
      </c>
      <c r="I258" t="s">
        <v>38</v>
      </c>
      <c r="J258" t="s">
        <v>39</v>
      </c>
      <c r="K258">
        <v>33</v>
      </c>
      <c r="L258">
        <v>79.51</v>
      </c>
      <c r="M258">
        <v>10</v>
      </c>
      <c r="O258" t="s">
        <v>28</v>
      </c>
      <c r="P258" t="s">
        <v>29</v>
      </c>
      <c r="Q258" t="s">
        <v>65</v>
      </c>
      <c r="R258" t="s">
        <v>42</v>
      </c>
      <c r="T258" t="s">
        <v>49</v>
      </c>
    </row>
    <row r="259" spans="1:19">
      <c r="A259">
        <v>258</v>
      </c>
      <c r="B259" s="14">
        <v>45940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37</v>
      </c>
      <c r="I259" t="s">
        <v>38</v>
      </c>
      <c r="J259" t="s">
        <v>39</v>
      </c>
      <c r="K259">
        <v>41</v>
      </c>
      <c r="L259">
        <v>71.94</v>
      </c>
      <c r="M259">
        <v>10</v>
      </c>
      <c r="O259" t="s">
        <v>40</v>
      </c>
      <c r="P259" t="s">
        <v>64</v>
      </c>
      <c r="Q259" t="s">
        <v>41</v>
      </c>
      <c r="R259" t="s">
        <v>42</v>
      </c>
      <c r="S259">
        <v>2</v>
      </c>
    </row>
    <row r="260" spans="1:20">
      <c r="A260">
        <v>259</v>
      </c>
      <c r="B260" s="14">
        <v>45753</v>
      </c>
      <c r="C260" t="s">
        <v>50</v>
      </c>
      <c r="D260" t="s">
        <v>51</v>
      </c>
      <c r="E260" t="s">
        <v>111</v>
      </c>
      <c r="F260" t="s">
        <v>44</v>
      </c>
      <c r="G260" t="s">
        <v>81</v>
      </c>
      <c r="H260" t="s">
        <v>58</v>
      </c>
      <c r="I260" t="s">
        <v>38</v>
      </c>
      <c r="J260" t="s">
        <v>48</v>
      </c>
      <c r="K260">
        <v>36</v>
      </c>
      <c r="L260">
        <v>30.1</v>
      </c>
      <c r="M260">
        <v>5</v>
      </c>
      <c r="O260" t="s">
        <v>54</v>
      </c>
      <c r="P260" t="s">
        <v>71</v>
      </c>
      <c r="Q260" t="s">
        <v>41</v>
      </c>
      <c r="R260" t="s">
        <v>42</v>
      </c>
      <c r="T260" t="s">
        <v>32</v>
      </c>
    </row>
    <row r="261" spans="1:20">
      <c r="A261">
        <v>260</v>
      </c>
      <c r="B261" s="14">
        <v>45678</v>
      </c>
      <c r="C261" t="s">
        <v>50</v>
      </c>
      <c r="D261" t="s">
        <v>56</v>
      </c>
      <c r="E261" t="s">
        <v>95</v>
      </c>
      <c r="F261" t="s">
        <v>44</v>
      </c>
      <c r="H261" t="s">
        <v>37</v>
      </c>
      <c r="I261" t="s">
        <v>53</v>
      </c>
      <c r="J261" t="s">
        <v>63</v>
      </c>
      <c r="K261">
        <v>37</v>
      </c>
      <c r="L261">
        <v>57.27</v>
      </c>
      <c r="M261">
        <v>0</v>
      </c>
      <c r="O261" t="s">
        <v>54</v>
      </c>
      <c r="P261" t="s">
        <v>64</v>
      </c>
      <c r="Q261" t="s">
        <v>76</v>
      </c>
      <c r="S261">
        <v>1</v>
      </c>
      <c r="T261" t="s">
        <v>32</v>
      </c>
    </row>
    <row r="262" spans="1:19">
      <c r="A262">
        <v>261</v>
      </c>
      <c r="B262" s="14">
        <v>45870</v>
      </c>
      <c r="C262" t="s">
        <v>33</v>
      </c>
      <c r="D262" t="s">
        <v>34</v>
      </c>
      <c r="E262" t="s">
        <v>87</v>
      </c>
      <c r="F262" t="s">
        <v>44</v>
      </c>
      <c r="G262" t="s">
        <v>45</v>
      </c>
      <c r="H262" t="s">
        <v>25</v>
      </c>
      <c r="I262" t="s">
        <v>26</v>
      </c>
      <c r="J262" t="s">
        <v>48</v>
      </c>
      <c r="K262">
        <v>22</v>
      </c>
      <c r="L262">
        <v>39.28</v>
      </c>
      <c r="M262">
        <v>5</v>
      </c>
      <c r="O262" t="s">
        <v>59</v>
      </c>
      <c r="P262" t="s">
        <v>71</v>
      </c>
      <c r="Q262" t="s">
        <v>30</v>
      </c>
      <c r="S262">
        <v>3</v>
      </c>
    </row>
    <row r="263" spans="1:20">
      <c r="A263">
        <v>262</v>
      </c>
      <c r="B263" s="14">
        <v>45781</v>
      </c>
      <c r="C263" t="s">
        <v>55</v>
      </c>
      <c r="D263" t="s">
        <v>34</v>
      </c>
      <c r="E263" t="s">
        <v>123</v>
      </c>
      <c r="F263" t="s">
        <v>91</v>
      </c>
      <c r="G263" t="s">
        <v>88</v>
      </c>
      <c r="H263" t="s">
        <v>46</v>
      </c>
      <c r="I263" t="s">
        <v>38</v>
      </c>
      <c r="J263" t="s">
        <v>27</v>
      </c>
      <c r="K263">
        <v>25</v>
      </c>
      <c r="L263">
        <v>29.38</v>
      </c>
      <c r="M263">
        <v>10</v>
      </c>
      <c r="O263" t="s">
        <v>28</v>
      </c>
      <c r="P263" t="s">
        <v>75</v>
      </c>
      <c r="Q263" t="s">
        <v>65</v>
      </c>
      <c r="R263" t="s">
        <v>42</v>
      </c>
      <c r="S263">
        <v>1</v>
      </c>
      <c r="T263" t="s">
        <v>49</v>
      </c>
    </row>
    <row r="264" spans="1:17">
      <c r="A264">
        <v>263</v>
      </c>
      <c r="B264" s="14">
        <v>45991</v>
      </c>
      <c r="C264" t="s">
        <v>50</v>
      </c>
      <c r="D264" t="s">
        <v>56</v>
      </c>
      <c r="E264" t="s">
        <v>111</v>
      </c>
      <c r="F264" t="s">
        <v>44</v>
      </c>
      <c r="G264" t="s">
        <v>88</v>
      </c>
      <c r="H264" t="s">
        <v>25</v>
      </c>
      <c r="I264" t="s">
        <v>47</v>
      </c>
      <c r="J264" t="s">
        <v>27</v>
      </c>
      <c r="K264">
        <v>41</v>
      </c>
      <c r="L264">
        <v>11.22</v>
      </c>
      <c r="M264">
        <v>5</v>
      </c>
      <c r="O264" t="s">
        <v>59</v>
      </c>
      <c r="P264" t="s">
        <v>71</v>
      </c>
      <c r="Q264" t="s">
        <v>76</v>
      </c>
    </row>
    <row r="265" spans="1:20">
      <c r="A265">
        <v>264</v>
      </c>
      <c r="B265" s="14">
        <v>45989</v>
      </c>
      <c r="C265" t="s">
        <v>77</v>
      </c>
      <c r="D265" t="s">
        <v>21</v>
      </c>
      <c r="E265" t="s">
        <v>22</v>
      </c>
      <c r="G265" t="s">
        <v>24</v>
      </c>
      <c r="H265" t="s">
        <v>58</v>
      </c>
      <c r="I265" t="s">
        <v>38</v>
      </c>
      <c r="J265" t="s">
        <v>48</v>
      </c>
      <c r="K265">
        <v>3</v>
      </c>
      <c r="L265">
        <v>13.31</v>
      </c>
      <c r="M265">
        <v>0</v>
      </c>
      <c r="O265" t="s">
        <v>40</v>
      </c>
      <c r="P265" t="s">
        <v>75</v>
      </c>
      <c r="Q265" t="s">
        <v>30</v>
      </c>
      <c r="S265">
        <v>2</v>
      </c>
      <c r="T265" t="s">
        <v>49</v>
      </c>
    </row>
    <row r="266" spans="1:19">
      <c r="A266">
        <v>265</v>
      </c>
      <c r="B266" s="14">
        <v>45866</v>
      </c>
      <c r="C266" t="s">
        <v>85</v>
      </c>
      <c r="D266" t="s">
        <v>83</v>
      </c>
      <c r="E266" t="s">
        <v>104</v>
      </c>
      <c r="F266" t="s">
        <v>70</v>
      </c>
      <c r="G266" t="s">
        <v>81</v>
      </c>
      <c r="H266" t="s">
        <v>46</v>
      </c>
      <c r="I266" t="s">
        <v>74</v>
      </c>
      <c r="J266" t="s">
        <v>63</v>
      </c>
      <c r="K266">
        <v>44</v>
      </c>
      <c r="L266">
        <v>16.24</v>
      </c>
      <c r="M266">
        <v>0</v>
      </c>
      <c r="O266" t="s">
        <v>28</v>
      </c>
      <c r="P266" t="s">
        <v>71</v>
      </c>
      <c r="Q266" t="s">
        <v>30</v>
      </c>
      <c r="R266" t="s">
        <v>42</v>
      </c>
      <c r="S266">
        <v>5</v>
      </c>
    </row>
    <row r="267" spans="1:18">
      <c r="A267">
        <v>266</v>
      </c>
      <c r="B267" s="14">
        <v>45806</v>
      </c>
      <c r="C267" t="s">
        <v>77</v>
      </c>
      <c r="D267" t="s">
        <v>51</v>
      </c>
      <c r="E267" t="s">
        <v>114</v>
      </c>
      <c r="F267" t="s">
        <v>36</v>
      </c>
      <c r="G267" t="s">
        <v>88</v>
      </c>
      <c r="H267" t="s">
        <v>46</v>
      </c>
      <c r="I267" t="s">
        <v>38</v>
      </c>
      <c r="J267" t="s">
        <v>63</v>
      </c>
      <c r="K267">
        <v>26</v>
      </c>
      <c r="L267">
        <v>83.1</v>
      </c>
      <c r="M267">
        <v>0</v>
      </c>
      <c r="O267" t="s">
        <v>59</v>
      </c>
      <c r="P267" t="s">
        <v>64</v>
      </c>
      <c r="Q267" t="s">
        <v>76</v>
      </c>
      <c r="R267" t="s">
        <v>31</v>
      </c>
    </row>
    <row r="268" spans="1:20">
      <c r="A268">
        <v>267</v>
      </c>
      <c r="B268" s="14">
        <v>45937</v>
      </c>
      <c r="C268" t="s">
        <v>60</v>
      </c>
      <c r="D268" t="s">
        <v>51</v>
      </c>
      <c r="E268" t="s">
        <v>90</v>
      </c>
      <c r="F268" t="s">
        <v>23</v>
      </c>
      <c r="H268" t="s">
        <v>46</v>
      </c>
      <c r="I268" t="s">
        <v>74</v>
      </c>
      <c r="J268" t="s">
        <v>39</v>
      </c>
      <c r="K268">
        <v>8</v>
      </c>
      <c r="L268">
        <v>8.97</v>
      </c>
      <c r="O268" t="s">
        <v>59</v>
      </c>
      <c r="P268" t="s">
        <v>71</v>
      </c>
      <c r="Q268" t="s">
        <v>41</v>
      </c>
      <c r="R268" t="s">
        <v>31</v>
      </c>
      <c r="T268" t="s">
        <v>49</v>
      </c>
    </row>
    <row r="269" spans="1:18">
      <c r="A269">
        <v>268</v>
      </c>
      <c r="B269" s="14">
        <v>45766</v>
      </c>
      <c r="C269" t="s">
        <v>85</v>
      </c>
      <c r="D269" t="s">
        <v>51</v>
      </c>
      <c r="E269" t="s">
        <v>111</v>
      </c>
      <c r="F269" t="s">
        <v>91</v>
      </c>
      <c r="G269" t="s">
        <v>24</v>
      </c>
      <c r="H269" t="s">
        <v>25</v>
      </c>
      <c r="I269" t="s">
        <v>26</v>
      </c>
      <c r="J269" t="s">
        <v>48</v>
      </c>
      <c r="K269">
        <v>13</v>
      </c>
      <c r="L269">
        <v>15.89</v>
      </c>
      <c r="O269" t="s">
        <v>28</v>
      </c>
      <c r="P269" t="s">
        <v>29</v>
      </c>
      <c r="Q269" t="s">
        <v>30</v>
      </c>
      <c r="R269" t="s">
        <v>42</v>
      </c>
    </row>
    <row r="270" spans="1:19">
      <c r="A270">
        <v>269</v>
      </c>
      <c r="B270" s="14">
        <v>45786</v>
      </c>
      <c r="C270" t="s">
        <v>20</v>
      </c>
      <c r="D270" t="s">
        <v>66</v>
      </c>
      <c r="E270" t="s">
        <v>113</v>
      </c>
      <c r="F270" t="s">
        <v>36</v>
      </c>
      <c r="G270" t="s">
        <v>81</v>
      </c>
      <c r="H270" t="s">
        <v>46</v>
      </c>
      <c r="I270" t="s">
        <v>53</v>
      </c>
      <c r="J270" t="s">
        <v>39</v>
      </c>
      <c r="K270">
        <v>43</v>
      </c>
      <c r="L270">
        <v>67.27</v>
      </c>
      <c r="M270">
        <v>0</v>
      </c>
      <c r="O270" t="s">
        <v>54</v>
      </c>
      <c r="P270" t="s">
        <v>71</v>
      </c>
      <c r="Q270" t="s">
        <v>76</v>
      </c>
      <c r="R270" t="s">
        <v>42</v>
      </c>
      <c r="S270">
        <v>4</v>
      </c>
    </row>
    <row r="271" spans="1:18">
      <c r="A271">
        <v>270</v>
      </c>
      <c r="B271" s="14">
        <v>45826</v>
      </c>
      <c r="C271" t="s">
        <v>33</v>
      </c>
      <c r="D271" t="s">
        <v>51</v>
      </c>
      <c r="E271" t="s">
        <v>114</v>
      </c>
      <c r="G271" t="s">
        <v>68</v>
      </c>
      <c r="H271" t="s">
        <v>25</v>
      </c>
      <c r="I271" t="s">
        <v>47</v>
      </c>
      <c r="J271" t="s">
        <v>48</v>
      </c>
      <c r="K271">
        <v>21</v>
      </c>
      <c r="L271">
        <v>96.07</v>
      </c>
      <c r="M271">
        <v>5</v>
      </c>
      <c r="O271" t="s">
        <v>28</v>
      </c>
      <c r="P271" t="s">
        <v>75</v>
      </c>
      <c r="Q271" t="s">
        <v>76</v>
      </c>
      <c r="R271" t="s">
        <v>31</v>
      </c>
    </row>
    <row r="272" spans="1:19">
      <c r="A272">
        <v>271</v>
      </c>
      <c r="B272" s="14">
        <v>45799</v>
      </c>
      <c r="C272" t="s">
        <v>77</v>
      </c>
      <c r="D272" t="s">
        <v>56</v>
      </c>
      <c r="E272" t="s">
        <v>89</v>
      </c>
      <c r="H272" t="s">
        <v>46</v>
      </c>
      <c r="I272" t="s">
        <v>38</v>
      </c>
      <c r="J272" t="s">
        <v>63</v>
      </c>
      <c r="K272">
        <v>29</v>
      </c>
      <c r="L272">
        <v>39.08</v>
      </c>
      <c r="M272">
        <v>10</v>
      </c>
      <c r="O272" t="s">
        <v>59</v>
      </c>
      <c r="P272" t="s">
        <v>71</v>
      </c>
      <c r="Q272" t="s">
        <v>76</v>
      </c>
      <c r="S272">
        <v>5</v>
      </c>
    </row>
    <row r="273" spans="1:19">
      <c r="A273">
        <v>272</v>
      </c>
      <c r="B273" s="14">
        <v>45801</v>
      </c>
      <c r="C273" t="s">
        <v>77</v>
      </c>
      <c r="D273" t="s">
        <v>61</v>
      </c>
      <c r="E273" t="s">
        <v>89</v>
      </c>
      <c r="F273" t="s">
        <v>36</v>
      </c>
      <c r="G273" t="s">
        <v>24</v>
      </c>
      <c r="H273" t="s">
        <v>46</v>
      </c>
      <c r="I273" t="s">
        <v>74</v>
      </c>
      <c r="J273" t="s">
        <v>27</v>
      </c>
      <c r="K273">
        <v>2</v>
      </c>
      <c r="L273">
        <v>85.71</v>
      </c>
      <c r="M273">
        <v>0</v>
      </c>
      <c r="O273" t="s">
        <v>59</v>
      </c>
      <c r="P273" t="s">
        <v>64</v>
      </c>
      <c r="Q273" t="s">
        <v>30</v>
      </c>
      <c r="S273">
        <v>3</v>
      </c>
    </row>
    <row r="274" spans="1:20">
      <c r="A274">
        <v>273</v>
      </c>
      <c r="B274" s="14">
        <v>45992</v>
      </c>
      <c r="C274" t="s">
        <v>77</v>
      </c>
      <c r="D274" t="s">
        <v>66</v>
      </c>
      <c r="E274" t="s">
        <v>116</v>
      </c>
      <c r="F274" t="s">
        <v>70</v>
      </c>
      <c r="G274" t="s">
        <v>24</v>
      </c>
      <c r="H274" t="s">
        <v>37</v>
      </c>
      <c r="I274" t="s">
        <v>53</v>
      </c>
      <c r="J274" t="s">
        <v>39</v>
      </c>
      <c r="K274">
        <v>30</v>
      </c>
      <c r="L274">
        <v>52.61</v>
      </c>
      <c r="M274">
        <v>0</v>
      </c>
      <c r="O274" t="s">
        <v>59</v>
      </c>
      <c r="P274" t="s">
        <v>75</v>
      </c>
      <c r="Q274" t="s">
        <v>30</v>
      </c>
      <c r="S274">
        <v>2</v>
      </c>
      <c r="T274" t="s">
        <v>32</v>
      </c>
    </row>
    <row r="275" spans="1:19">
      <c r="A275">
        <v>274</v>
      </c>
      <c r="B275" s="14">
        <v>45921</v>
      </c>
      <c r="C275" t="s">
        <v>50</v>
      </c>
      <c r="D275" t="s">
        <v>83</v>
      </c>
      <c r="E275" t="s">
        <v>120</v>
      </c>
      <c r="F275" t="s">
        <v>91</v>
      </c>
      <c r="G275" t="s">
        <v>68</v>
      </c>
      <c r="H275" t="s">
        <v>37</v>
      </c>
      <c r="I275" t="s">
        <v>26</v>
      </c>
      <c r="J275" t="s">
        <v>63</v>
      </c>
      <c r="K275">
        <v>23</v>
      </c>
      <c r="L275">
        <v>8.84</v>
      </c>
      <c r="M275">
        <v>15</v>
      </c>
      <c r="O275" t="s">
        <v>40</v>
      </c>
      <c r="P275" t="s">
        <v>71</v>
      </c>
      <c r="Q275" t="s">
        <v>41</v>
      </c>
      <c r="R275" t="s">
        <v>42</v>
      </c>
      <c r="S275">
        <v>2</v>
      </c>
    </row>
    <row r="276" spans="1:18">
      <c r="A276">
        <v>275</v>
      </c>
      <c r="B276" s="14">
        <v>46000</v>
      </c>
      <c r="C276" t="s">
        <v>50</v>
      </c>
      <c r="D276" t="s">
        <v>34</v>
      </c>
      <c r="E276" t="s">
        <v>116</v>
      </c>
      <c r="F276" t="s">
        <v>70</v>
      </c>
      <c r="G276" t="s">
        <v>81</v>
      </c>
      <c r="H276" t="s">
        <v>73</v>
      </c>
      <c r="I276" t="s">
        <v>74</v>
      </c>
      <c r="J276" t="s">
        <v>27</v>
      </c>
      <c r="K276">
        <v>42</v>
      </c>
      <c r="L276">
        <v>35.79</v>
      </c>
      <c r="O276" t="s">
        <v>54</v>
      </c>
      <c r="P276" t="s">
        <v>75</v>
      </c>
      <c r="Q276" t="s">
        <v>76</v>
      </c>
      <c r="R276" t="s">
        <v>42</v>
      </c>
    </row>
    <row r="277" spans="1:19">
      <c r="A277">
        <v>276</v>
      </c>
      <c r="B277" s="14">
        <v>45845</v>
      </c>
      <c r="C277" t="s">
        <v>33</v>
      </c>
      <c r="D277" t="s">
        <v>51</v>
      </c>
      <c r="E277" t="s">
        <v>52</v>
      </c>
      <c r="F277" t="s">
        <v>36</v>
      </c>
      <c r="G277" t="s">
        <v>45</v>
      </c>
      <c r="H277" t="s">
        <v>73</v>
      </c>
      <c r="I277" t="s">
        <v>26</v>
      </c>
      <c r="J277" t="s">
        <v>63</v>
      </c>
      <c r="K277">
        <v>23</v>
      </c>
      <c r="L277">
        <v>82.64</v>
      </c>
      <c r="M277">
        <v>10</v>
      </c>
      <c r="O277" t="s">
        <v>59</v>
      </c>
      <c r="P277" t="s">
        <v>29</v>
      </c>
      <c r="Q277" t="s">
        <v>30</v>
      </c>
      <c r="S277">
        <v>2</v>
      </c>
    </row>
    <row r="278" spans="1:19">
      <c r="A278">
        <v>277</v>
      </c>
      <c r="B278" s="14">
        <v>45742</v>
      </c>
      <c r="C278" t="s">
        <v>50</v>
      </c>
      <c r="D278" t="s">
        <v>21</v>
      </c>
      <c r="E278" t="s">
        <v>111</v>
      </c>
      <c r="G278" t="s">
        <v>45</v>
      </c>
      <c r="H278" t="s">
        <v>25</v>
      </c>
      <c r="I278" t="s">
        <v>26</v>
      </c>
      <c r="J278" t="s">
        <v>39</v>
      </c>
      <c r="K278">
        <v>11</v>
      </c>
      <c r="L278">
        <v>39.41</v>
      </c>
      <c r="M278">
        <v>0</v>
      </c>
      <c r="O278" t="s">
        <v>40</v>
      </c>
      <c r="P278" t="s">
        <v>29</v>
      </c>
      <c r="Q278" t="s">
        <v>41</v>
      </c>
      <c r="S278">
        <v>1</v>
      </c>
    </row>
    <row r="279" spans="1:19">
      <c r="A279">
        <v>278</v>
      </c>
      <c r="B279" s="14">
        <v>46003</v>
      </c>
      <c r="C279" t="s">
        <v>85</v>
      </c>
      <c r="D279" t="s">
        <v>83</v>
      </c>
      <c r="E279" t="s">
        <v>110</v>
      </c>
      <c r="F279" t="s">
        <v>36</v>
      </c>
      <c r="G279" t="s">
        <v>24</v>
      </c>
      <c r="H279" t="s">
        <v>73</v>
      </c>
      <c r="I279" t="s">
        <v>74</v>
      </c>
      <c r="J279" t="s">
        <v>39</v>
      </c>
      <c r="K279">
        <v>3</v>
      </c>
      <c r="L279">
        <v>17.15</v>
      </c>
      <c r="O279" t="s">
        <v>40</v>
      </c>
      <c r="P279" t="s">
        <v>64</v>
      </c>
      <c r="Q279" t="s">
        <v>30</v>
      </c>
      <c r="S279">
        <v>2</v>
      </c>
    </row>
    <row r="280" spans="1:20">
      <c r="A280">
        <v>279</v>
      </c>
      <c r="B280" s="14">
        <v>45743</v>
      </c>
      <c r="C280" t="s">
        <v>60</v>
      </c>
      <c r="D280" t="s">
        <v>66</v>
      </c>
      <c r="E280" t="s">
        <v>99</v>
      </c>
      <c r="F280" t="s">
        <v>70</v>
      </c>
      <c r="G280" t="s">
        <v>68</v>
      </c>
      <c r="H280" t="s">
        <v>37</v>
      </c>
      <c r="I280" t="s">
        <v>74</v>
      </c>
      <c r="J280" t="s">
        <v>48</v>
      </c>
      <c r="K280">
        <v>6</v>
      </c>
      <c r="L280">
        <v>25.58</v>
      </c>
      <c r="O280" t="s">
        <v>59</v>
      </c>
      <c r="P280" t="s">
        <v>29</v>
      </c>
      <c r="Q280" t="s">
        <v>76</v>
      </c>
      <c r="R280" t="s">
        <v>31</v>
      </c>
      <c r="S280">
        <v>4</v>
      </c>
      <c r="T280" t="s">
        <v>32</v>
      </c>
    </row>
    <row r="281" spans="1:19">
      <c r="A281">
        <v>280</v>
      </c>
      <c r="B281" s="14">
        <v>45956</v>
      </c>
      <c r="C281" t="s">
        <v>77</v>
      </c>
      <c r="D281" t="s">
        <v>61</v>
      </c>
      <c r="E281" t="s">
        <v>92</v>
      </c>
      <c r="F281" t="s">
        <v>36</v>
      </c>
      <c r="H281" t="s">
        <v>37</v>
      </c>
      <c r="I281" t="s">
        <v>53</v>
      </c>
      <c r="J281" t="s">
        <v>39</v>
      </c>
      <c r="K281">
        <v>47</v>
      </c>
      <c r="L281">
        <v>70.13</v>
      </c>
      <c r="M281">
        <v>15</v>
      </c>
      <c r="O281" t="s">
        <v>28</v>
      </c>
      <c r="P281" t="s">
        <v>64</v>
      </c>
      <c r="Q281" t="s">
        <v>65</v>
      </c>
      <c r="R281" t="s">
        <v>42</v>
      </c>
      <c r="S281">
        <v>2</v>
      </c>
    </row>
    <row r="282" spans="1:20">
      <c r="A282">
        <v>281</v>
      </c>
      <c r="B282" s="14">
        <v>45666</v>
      </c>
      <c r="C282" t="s">
        <v>50</v>
      </c>
      <c r="D282" t="s">
        <v>34</v>
      </c>
      <c r="E282" t="s">
        <v>111</v>
      </c>
      <c r="G282" t="s">
        <v>81</v>
      </c>
      <c r="H282" t="s">
        <v>25</v>
      </c>
      <c r="I282" t="s">
        <v>47</v>
      </c>
      <c r="J282" t="s">
        <v>27</v>
      </c>
      <c r="K282">
        <v>12</v>
      </c>
      <c r="L282">
        <v>50.21</v>
      </c>
      <c r="O282" t="s">
        <v>28</v>
      </c>
      <c r="P282" t="s">
        <v>71</v>
      </c>
      <c r="Q282" t="s">
        <v>30</v>
      </c>
      <c r="R282" t="s">
        <v>42</v>
      </c>
      <c r="T282" t="s">
        <v>32</v>
      </c>
    </row>
    <row r="283" spans="1:19">
      <c r="A283">
        <v>282</v>
      </c>
      <c r="B283" s="14">
        <v>45966</v>
      </c>
      <c r="C283" t="s">
        <v>33</v>
      </c>
      <c r="D283" t="s">
        <v>61</v>
      </c>
      <c r="E283" t="s">
        <v>78</v>
      </c>
      <c r="H283" t="s">
        <v>73</v>
      </c>
      <c r="I283" t="s">
        <v>47</v>
      </c>
      <c r="J283" t="s">
        <v>63</v>
      </c>
      <c r="K283">
        <v>24</v>
      </c>
      <c r="L283">
        <v>88.11</v>
      </c>
      <c r="O283" t="s">
        <v>59</v>
      </c>
      <c r="P283" t="s">
        <v>64</v>
      </c>
      <c r="Q283" t="s">
        <v>65</v>
      </c>
      <c r="R283" t="s">
        <v>42</v>
      </c>
      <c r="S283">
        <v>3</v>
      </c>
    </row>
    <row r="284" spans="1:20">
      <c r="A284">
        <v>283</v>
      </c>
      <c r="B284" s="14">
        <v>45875</v>
      </c>
      <c r="C284" t="s">
        <v>50</v>
      </c>
      <c r="D284" t="s">
        <v>56</v>
      </c>
      <c r="E284" t="s">
        <v>115</v>
      </c>
      <c r="F284" t="s">
        <v>91</v>
      </c>
      <c r="G284" t="s">
        <v>88</v>
      </c>
      <c r="H284" t="s">
        <v>46</v>
      </c>
      <c r="I284" t="s">
        <v>47</v>
      </c>
      <c r="J284" t="s">
        <v>63</v>
      </c>
      <c r="K284">
        <v>17</v>
      </c>
      <c r="L284">
        <v>22.96</v>
      </c>
      <c r="M284">
        <v>0</v>
      </c>
      <c r="O284" t="s">
        <v>28</v>
      </c>
      <c r="P284" t="s">
        <v>71</v>
      </c>
      <c r="Q284" t="s">
        <v>65</v>
      </c>
      <c r="S284">
        <v>2</v>
      </c>
      <c r="T284" t="s">
        <v>49</v>
      </c>
    </row>
    <row r="285" spans="1:19">
      <c r="A285">
        <v>284</v>
      </c>
      <c r="B285" s="14">
        <v>45867</v>
      </c>
      <c r="C285" t="s">
        <v>60</v>
      </c>
      <c r="D285" t="s">
        <v>21</v>
      </c>
      <c r="E285" t="s">
        <v>90</v>
      </c>
      <c r="F285" t="s">
        <v>70</v>
      </c>
      <c r="H285" t="s">
        <v>37</v>
      </c>
      <c r="I285" t="s">
        <v>53</v>
      </c>
      <c r="J285" t="s">
        <v>48</v>
      </c>
      <c r="K285">
        <v>35</v>
      </c>
      <c r="L285">
        <v>45.24</v>
      </c>
      <c r="M285">
        <v>10</v>
      </c>
      <c r="O285" t="s">
        <v>54</v>
      </c>
      <c r="P285" t="s">
        <v>29</v>
      </c>
      <c r="Q285" t="s">
        <v>76</v>
      </c>
      <c r="R285" t="s">
        <v>42</v>
      </c>
      <c r="S285">
        <v>5</v>
      </c>
    </row>
    <row r="286" spans="1:19">
      <c r="A286">
        <v>285</v>
      </c>
      <c r="B286" s="14">
        <v>45749</v>
      </c>
      <c r="C286" t="s">
        <v>60</v>
      </c>
      <c r="D286" t="s">
        <v>34</v>
      </c>
      <c r="E286" t="s">
        <v>96</v>
      </c>
      <c r="F286" t="s">
        <v>70</v>
      </c>
      <c r="G286" t="s">
        <v>45</v>
      </c>
      <c r="H286" t="s">
        <v>46</v>
      </c>
      <c r="I286" t="s">
        <v>47</v>
      </c>
      <c r="J286" t="s">
        <v>48</v>
      </c>
      <c r="K286">
        <v>50</v>
      </c>
      <c r="L286">
        <v>72.02</v>
      </c>
      <c r="M286">
        <v>5</v>
      </c>
      <c r="O286" t="s">
        <v>28</v>
      </c>
      <c r="P286" t="s">
        <v>64</v>
      </c>
      <c r="Q286" t="s">
        <v>65</v>
      </c>
      <c r="S286">
        <v>2</v>
      </c>
    </row>
    <row r="287" spans="1:20">
      <c r="A287">
        <v>286</v>
      </c>
      <c r="B287" s="14">
        <v>45767</v>
      </c>
      <c r="C287" t="s">
        <v>33</v>
      </c>
      <c r="D287" t="s">
        <v>83</v>
      </c>
      <c r="E287" t="s">
        <v>82</v>
      </c>
      <c r="F287" t="s">
        <v>36</v>
      </c>
      <c r="G287" t="s">
        <v>68</v>
      </c>
      <c r="H287" t="s">
        <v>58</v>
      </c>
      <c r="I287" t="s">
        <v>26</v>
      </c>
      <c r="J287" t="s">
        <v>63</v>
      </c>
      <c r="K287">
        <v>41</v>
      </c>
      <c r="L287">
        <v>5.5</v>
      </c>
      <c r="M287">
        <v>0</v>
      </c>
      <c r="O287" t="s">
        <v>40</v>
      </c>
      <c r="P287" t="s">
        <v>29</v>
      </c>
      <c r="Q287" t="s">
        <v>65</v>
      </c>
      <c r="R287" t="s">
        <v>31</v>
      </c>
      <c r="S287">
        <v>1</v>
      </c>
      <c r="T287" t="s">
        <v>49</v>
      </c>
    </row>
    <row r="288" spans="1:20">
      <c r="A288">
        <v>287</v>
      </c>
      <c r="B288" s="14">
        <v>45771</v>
      </c>
      <c r="C288" t="s">
        <v>60</v>
      </c>
      <c r="D288" t="s">
        <v>21</v>
      </c>
      <c r="E288" t="s">
        <v>95</v>
      </c>
      <c r="F288" t="s">
        <v>44</v>
      </c>
      <c r="H288" t="s">
        <v>73</v>
      </c>
      <c r="I288" t="s">
        <v>38</v>
      </c>
      <c r="J288" t="s">
        <v>48</v>
      </c>
      <c r="K288">
        <v>46</v>
      </c>
      <c r="L288">
        <v>96.54</v>
      </c>
      <c r="M288">
        <v>0</v>
      </c>
      <c r="O288" t="s">
        <v>40</v>
      </c>
      <c r="P288" t="s">
        <v>29</v>
      </c>
      <c r="Q288" t="s">
        <v>65</v>
      </c>
      <c r="R288" t="s">
        <v>31</v>
      </c>
      <c r="S288">
        <v>2</v>
      </c>
      <c r="T288" t="s">
        <v>49</v>
      </c>
    </row>
    <row r="289" spans="1:20">
      <c r="A289">
        <v>288</v>
      </c>
      <c r="B289" s="14">
        <v>45757</v>
      </c>
      <c r="C289" t="s">
        <v>20</v>
      </c>
      <c r="D289" t="s">
        <v>61</v>
      </c>
      <c r="E289" t="s">
        <v>95</v>
      </c>
      <c r="F289" t="s">
        <v>36</v>
      </c>
      <c r="G289" t="s">
        <v>68</v>
      </c>
      <c r="H289" t="s">
        <v>25</v>
      </c>
      <c r="I289" t="s">
        <v>47</v>
      </c>
      <c r="J289" t="s">
        <v>39</v>
      </c>
      <c r="K289">
        <v>44</v>
      </c>
      <c r="L289">
        <v>8.43</v>
      </c>
      <c r="M289">
        <v>5</v>
      </c>
      <c r="O289" t="s">
        <v>28</v>
      </c>
      <c r="P289" t="s">
        <v>64</v>
      </c>
      <c r="Q289" t="s">
        <v>30</v>
      </c>
      <c r="R289" t="s">
        <v>42</v>
      </c>
      <c r="S289">
        <v>4</v>
      </c>
      <c r="T289" t="s">
        <v>49</v>
      </c>
    </row>
    <row r="290" spans="1:20">
      <c r="A290">
        <v>289</v>
      </c>
      <c r="B290" s="14">
        <v>46000</v>
      </c>
      <c r="C290" t="s">
        <v>85</v>
      </c>
      <c r="D290" t="s">
        <v>83</v>
      </c>
      <c r="E290" t="s">
        <v>98</v>
      </c>
      <c r="F290" t="s">
        <v>91</v>
      </c>
      <c r="G290" t="s">
        <v>68</v>
      </c>
      <c r="H290" t="s">
        <v>58</v>
      </c>
      <c r="I290" t="s">
        <v>74</v>
      </c>
      <c r="J290" t="s">
        <v>27</v>
      </c>
      <c r="K290">
        <v>36</v>
      </c>
      <c r="L290">
        <v>32.03</v>
      </c>
      <c r="O290" t="s">
        <v>54</v>
      </c>
      <c r="P290" t="s">
        <v>75</v>
      </c>
      <c r="Q290" t="s">
        <v>41</v>
      </c>
      <c r="R290" t="s">
        <v>31</v>
      </c>
      <c r="S290">
        <v>5</v>
      </c>
      <c r="T290" t="s">
        <v>32</v>
      </c>
    </row>
    <row r="291" spans="1:20">
      <c r="A291">
        <v>290</v>
      </c>
      <c r="B291" s="14">
        <v>45890</v>
      </c>
      <c r="C291" t="s">
        <v>85</v>
      </c>
      <c r="D291" t="s">
        <v>34</v>
      </c>
      <c r="E291" t="s">
        <v>78</v>
      </c>
      <c r="F291" t="s">
        <v>23</v>
      </c>
      <c r="G291" t="s">
        <v>24</v>
      </c>
      <c r="H291" t="s">
        <v>73</v>
      </c>
      <c r="I291" t="s">
        <v>47</v>
      </c>
      <c r="J291" t="s">
        <v>27</v>
      </c>
      <c r="K291">
        <v>36</v>
      </c>
      <c r="L291">
        <v>11.88</v>
      </c>
      <c r="M291">
        <v>10</v>
      </c>
      <c r="O291" t="s">
        <v>54</v>
      </c>
      <c r="P291" t="s">
        <v>71</v>
      </c>
      <c r="Q291" t="s">
        <v>41</v>
      </c>
      <c r="S291">
        <v>5</v>
      </c>
      <c r="T291" t="s">
        <v>49</v>
      </c>
    </row>
    <row r="292" spans="1:20">
      <c r="A292">
        <v>291</v>
      </c>
      <c r="B292" s="14">
        <v>46013</v>
      </c>
      <c r="C292" t="s">
        <v>85</v>
      </c>
      <c r="D292" t="s">
        <v>83</v>
      </c>
      <c r="E292" t="s">
        <v>100</v>
      </c>
      <c r="F292" t="s">
        <v>70</v>
      </c>
      <c r="G292" t="s">
        <v>24</v>
      </c>
      <c r="H292" t="s">
        <v>46</v>
      </c>
      <c r="I292" t="s">
        <v>38</v>
      </c>
      <c r="J292" t="s">
        <v>63</v>
      </c>
      <c r="K292">
        <v>38</v>
      </c>
      <c r="L292">
        <v>86.89</v>
      </c>
      <c r="M292">
        <v>15</v>
      </c>
      <c r="O292" t="s">
        <v>28</v>
      </c>
      <c r="P292" t="s">
        <v>75</v>
      </c>
      <c r="Q292" t="s">
        <v>30</v>
      </c>
      <c r="R292" t="s">
        <v>42</v>
      </c>
      <c r="T292" t="s">
        <v>32</v>
      </c>
    </row>
    <row r="293" spans="1:20">
      <c r="A293">
        <v>292</v>
      </c>
      <c r="B293" s="14">
        <v>46004</v>
      </c>
      <c r="C293" t="s">
        <v>55</v>
      </c>
      <c r="D293" t="s">
        <v>66</v>
      </c>
      <c r="E293" t="s">
        <v>108</v>
      </c>
      <c r="F293" t="s">
        <v>70</v>
      </c>
      <c r="G293" t="s">
        <v>45</v>
      </c>
      <c r="H293" t="s">
        <v>37</v>
      </c>
      <c r="I293" t="s">
        <v>47</v>
      </c>
      <c r="J293" t="s">
        <v>27</v>
      </c>
      <c r="K293">
        <v>45</v>
      </c>
      <c r="L293">
        <v>84.06</v>
      </c>
      <c r="M293">
        <v>5</v>
      </c>
      <c r="O293" t="s">
        <v>54</v>
      </c>
      <c r="P293" t="s">
        <v>71</v>
      </c>
      <c r="Q293" t="s">
        <v>65</v>
      </c>
      <c r="T293" t="s">
        <v>49</v>
      </c>
    </row>
    <row r="294" spans="1:20">
      <c r="A294">
        <v>293</v>
      </c>
      <c r="B294" s="14">
        <v>45696</v>
      </c>
      <c r="C294" t="s">
        <v>33</v>
      </c>
      <c r="D294" t="s">
        <v>66</v>
      </c>
      <c r="E294" t="s">
        <v>115</v>
      </c>
      <c r="F294" t="s">
        <v>23</v>
      </c>
      <c r="G294" t="s">
        <v>45</v>
      </c>
      <c r="H294" t="s">
        <v>25</v>
      </c>
      <c r="I294" t="s">
        <v>47</v>
      </c>
      <c r="J294" t="s">
        <v>48</v>
      </c>
      <c r="K294">
        <v>12</v>
      </c>
      <c r="L294">
        <v>94.98</v>
      </c>
      <c r="M294">
        <v>5</v>
      </c>
      <c r="O294" t="s">
        <v>59</v>
      </c>
      <c r="P294" t="s">
        <v>64</v>
      </c>
      <c r="Q294" t="s">
        <v>76</v>
      </c>
      <c r="S294">
        <v>2</v>
      </c>
      <c r="T294" t="s">
        <v>49</v>
      </c>
    </row>
    <row r="295" spans="1:20">
      <c r="A295">
        <v>294</v>
      </c>
      <c r="B295" s="14">
        <v>45763</v>
      </c>
      <c r="C295" t="s">
        <v>50</v>
      </c>
      <c r="D295" t="s">
        <v>66</v>
      </c>
      <c r="E295" t="s">
        <v>67</v>
      </c>
      <c r="F295" t="s">
        <v>36</v>
      </c>
      <c r="G295" t="s">
        <v>45</v>
      </c>
      <c r="H295" t="s">
        <v>25</v>
      </c>
      <c r="I295" t="s">
        <v>74</v>
      </c>
      <c r="J295" t="s">
        <v>27</v>
      </c>
      <c r="K295">
        <v>6</v>
      </c>
      <c r="L295">
        <v>69.2</v>
      </c>
      <c r="M295">
        <v>15</v>
      </c>
      <c r="O295" t="s">
        <v>28</v>
      </c>
      <c r="P295" t="s">
        <v>71</v>
      </c>
      <c r="Q295" t="s">
        <v>65</v>
      </c>
      <c r="R295" t="s">
        <v>42</v>
      </c>
      <c r="S295">
        <v>5</v>
      </c>
      <c r="T295" t="s">
        <v>49</v>
      </c>
    </row>
    <row r="296" spans="1:20">
      <c r="A296">
        <v>295</v>
      </c>
      <c r="B296" s="14">
        <v>45910</v>
      </c>
      <c r="C296" t="s">
        <v>33</v>
      </c>
      <c r="D296" t="s">
        <v>61</v>
      </c>
      <c r="E296" t="s">
        <v>86</v>
      </c>
      <c r="F296" t="s">
        <v>70</v>
      </c>
      <c r="G296" t="s">
        <v>24</v>
      </c>
      <c r="H296" t="s">
        <v>37</v>
      </c>
      <c r="I296" t="s">
        <v>53</v>
      </c>
      <c r="J296" t="s">
        <v>63</v>
      </c>
      <c r="K296">
        <v>15</v>
      </c>
      <c r="L296">
        <v>76.27</v>
      </c>
      <c r="M296">
        <v>5</v>
      </c>
      <c r="O296" t="s">
        <v>28</v>
      </c>
      <c r="P296" t="s">
        <v>29</v>
      </c>
      <c r="Q296" t="s">
        <v>65</v>
      </c>
      <c r="S296">
        <v>1</v>
      </c>
      <c r="T296" t="s">
        <v>49</v>
      </c>
    </row>
    <row r="297" spans="1:20">
      <c r="A297">
        <v>296</v>
      </c>
      <c r="B297" s="14">
        <v>45859</v>
      </c>
      <c r="C297" t="s">
        <v>77</v>
      </c>
      <c r="D297" t="s">
        <v>51</v>
      </c>
      <c r="E297" t="s">
        <v>62</v>
      </c>
      <c r="F297" t="s">
        <v>91</v>
      </c>
      <c r="G297" t="s">
        <v>81</v>
      </c>
      <c r="H297" t="s">
        <v>58</v>
      </c>
      <c r="I297" t="s">
        <v>47</v>
      </c>
      <c r="J297" t="s">
        <v>63</v>
      </c>
      <c r="K297">
        <v>21</v>
      </c>
      <c r="L297">
        <v>70.48</v>
      </c>
      <c r="M297">
        <v>0</v>
      </c>
      <c r="O297" t="s">
        <v>40</v>
      </c>
      <c r="P297" t="s">
        <v>29</v>
      </c>
      <c r="Q297" t="s">
        <v>30</v>
      </c>
      <c r="R297" t="s">
        <v>42</v>
      </c>
      <c r="S297">
        <v>3</v>
      </c>
      <c r="T297" t="s">
        <v>49</v>
      </c>
    </row>
    <row r="298" spans="1:19">
      <c r="A298">
        <v>297</v>
      </c>
      <c r="B298" s="14">
        <v>45753</v>
      </c>
      <c r="C298" t="s">
        <v>33</v>
      </c>
      <c r="D298" t="s">
        <v>56</v>
      </c>
      <c r="E298" t="s">
        <v>67</v>
      </c>
      <c r="F298" t="s">
        <v>23</v>
      </c>
      <c r="G298" t="s">
        <v>81</v>
      </c>
      <c r="H298" t="s">
        <v>37</v>
      </c>
      <c r="I298" t="s">
        <v>53</v>
      </c>
      <c r="J298" t="s">
        <v>48</v>
      </c>
      <c r="K298">
        <v>12</v>
      </c>
      <c r="L298">
        <v>52.38</v>
      </c>
      <c r="M298">
        <v>5</v>
      </c>
      <c r="O298" t="s">
        <v>59</v>
      </c>
      <c r="P298" t="s">
        <v>75</v>
      </c>
      <c r="Q298" t="s">
        <v>41</v>
      </c>
      <c r="R298" t="s">
        <v>42</v>
      </c>
      <c r="S298">
        <v>3</v>
      </c>
    </row>
    <row r="299" spans="1:20">
      <c r="A299">
        <v>298</v>
      </c>
      <c r="B299" s="14">
        <v>45750</v>
      </c>
      <c r="C299" t="s">
        <v>33</v>
      </c>
      <c r="D299" t="s">
        <v>66</v>
      </c>
      <c r="E299" t="s">
        <v>100</v>
      </c>
      <c r="G299" t="s">
        <v>24</v>
      </c>
      <c r="H299" t="s">
        <v>58</v>
      </c>
      <c r="I299" t="s">
        <v>53</v>
      </c>
      <c r="J299" t="s">
        <v>39</v>
      </c>
      <c r="K299">
        <v>36</v>
      </c>
      <c r="L299">
        <v>46.06</v>
      </c>
      <c r="M299">
        <v>15</v>
      </c>
      <c r="O299" t="s">
        <v>40</v>
      </c>
      <c r="P299" t="s">
        <v>64</v>
      </c>
      <c r="Q299" t="s">
        <v>76</v>
      </c>
      <c r="R299" t="s">
        <v>42</v>
      </c>
      <c r="S299">
        <v>1</v>
      </c>
      <c r="T299" t="s">
        <v>32</v>
      </c>
    </row>
    <row r="300" spans="1:19">
      <c r="A300">
        <v>299</v>
      </c>
      <c r="B300" s="14">
        <v>45873</v>
      </c>
      <c r="C300" t="s">
        <v>85</v>
      </c>
      <c r="D300" t="s">
        <v>66</v>
      </c>
      <c r="E300" t="s">
        <v>104</v>
      </c>
      <c r="F300" t="s">
        <v>36</v>
      </c>
      <c r="G300" t="s">
        <v>68</v>
      </c>
      <c r="H300" t="s">
        <v>46</v>
      </c>
      <c r="I300" t="s">
        <v>38</v>
      </c>
      <c r="J300" t="s">
        <v>48</v>
      </c>
      <c r="K300">
        <v>17</v>
      </c>
      <c r="L300">
        <v>58.4</v>
      </c>
      <c r="O300" t="s">
        <v>28</v>
      </c>
      <c r="P300" t="s">
        <v>29</v>
      </c>
      <c r="Q300" t="s">
        <v>30</v>
      </c>
      <c r="S300">
        <v>2</v>
      </c>
    </row>
    <row r="301" spans="1:20">
      <c r="A301">
        <v>300</v>
      </c>
      <c r="B301" s="14">
        <v>45768</v>
      </c>
      <c r="C301" t="s">
        <v>77</v>
      </c>
      <c r="D301" t="s">
        <v>56</v>
      </c>
      <c r="E301" t="s">
        <v>115</v>
      </c>
      <c r="G301" t="s">
        <v>88</v>
      </c>
      <c r="H301" t="s">
        <v>73</v>
      </c>
      <c r="I301" t="s">
        <v>53</v>
      </c>
      <c r="J301" t="s">
        <v>48</v>
      </c>
      <c r="K301">
        <v>24</v>
      </c>
      <c r="L301">
        <v>39.23</v>
      </c>
      <c r="O301" t="s">
        <v>54</v>
      </c>
      <c r="P301" t="s">
        <v>75</v>
      </c>
      <c r="Q301" t="s">
        <v>30</v>
      </c>
      <c r="R301" t="s">
        <v>42</v>
      </c>
      <c r="S301">
        <v>1</v>
      </c>
      <c r="T301" t="s">
        <v>49</v>
      </c>
    </row>
    <row r="302" spans="1:20">
      <c r="A302">
        <v>301</v>
      </c>
      <c r="B302" s="14">
        <v>46005</v>
      </c>
      <c r="C302" t="s">
        <v>33</v>
      </c>
      <c r="D302" t="s">
        <v>66</v>
      </c>
      <c r="E302" t="s">
        <v>100</v>
      </c>
      <c r="F302" t="s">
        <v>36</v>
      </c>
      <c r="H302" t="s">
        <v>37</v>
      </c>
      <c r="I302" t="s">
        <v>26</v>
      </c>
      <c r="J302" t="s">
        <v>48</v>
      </c>
      <c r="K302">
        <v>23</v>
      </c>
      <c r="L302">
        <v>35.88</v>
      </c>
      <c r="O302" t="s">
        <v>59</v>
      </c>
      <c r="P302" t="s">
        <v>29</v>
      </c>
      <c r="Q302" t="s">
        <v>30</v>
      </c>
      <c r="R302" t="s">
        <v>42</v>
      </c>
      <c r="S302">
        <v>5</v>
      </c>
      <c r="T302" t="s">
        <v>49</v>
      </c>
    </row>
    <row r="303" spans="1:20">
      <c r="A303">
        <v>302</v>
      </c>
      <c r="B303" s="14">
        <v>45895</v>
      </c>
      <c r="C303" t="s">
        <v>55</v>
      </c>
      <c r="D303" t="s">
        <v>66</v>
      </c>
      <c r="E303" t="s">
        <v>120</v>
      </c>
      <c r="G303" t="s">
        <v>45</v>
      </c>
      <c r="H303" t="s">
        <v>73</v>
      </c>
      <c r="I303" t="s">
        <v>47</v>
      </c>
      <c r="J303" t="s">
        <v>63</v>
      </c>
      <c r="K303">
        <v>5</v>
      </c>
      <c r="L303">
        <v>12.52</v>
      </c>
      <c r="M303">
        <v>10</v>
      </c>
      <c r="O303" t="s">
        <v>40</v>
      </c>
      <c r="P303" t="s">
        <v>75</v>
      </c>
      <c r="Q303" t="s">
        <v>41</v>
      </c>
      <c r="S303">
        <v>3</v>
      </c>
      <c r="T303" t="s">
        <v>49</v>
      </c>
    </row>
    <row r="304" spans="1:17">
      <c r="A304">
        <v>303</v>
      </c>
      <c r="B304" s="14">
        <v>45967</v>
      </c>
      <c r="C304" t="s">
        <v>55</v>
      </c>
      <c r="D304" t="s">
        <v>83</v>
      </c>
      <c r="E304" t="s">
        <v>86</v>
      </c>
      <c r="F304" t="s">
        <v>70</v>
      </c>
      <c r="G304" t="s">
        <v>45</v>
      </c>
      <c r="H304" t="s">
        <v>37</v>
      </c>
      <c r="I304" t="s">
        <v>47</v>
      </c>
      <c r="J304" t="s">
        <v>63</v>
      </c>
      <c r="K304">
        <v>27</v>
      </c>
      <c r="L304">
        <v>20.9</v>
      </c>
      <c r="M304">
        <v>0</v>
      </c>
      <c r="O304" t="s">
        <v>40</v>
      </c>
      <c r="P304" t="s">
        <v>64</v>
      </c>
      <c r="Q304" t="s">
        <v>41</v>
      </c>
    </row>
    <row r="305" spans="1:19">
      <c r="A305">
        <v>304</v>
      </c>
      <c r="B305" s="14">
        <v>45765</v>
      </c>
      <c r="C305" t="s">
        <v>50</v>
      </c>
      <c r="D305" t="s">
        <v>83</v>
      </c>
      <c r="E305" t="s">
        <v>106</v>
      </c>
      <c r="F305" t="s">
        <v>44</v>
      </c>
      <c r="G305" t="s">
        <v>88</v>
      </c>
      <c r="H305" t="s">
        <v>73</v>
      </c>
      <c r="I305" t="s">
        <v>47</v>
      </c>
      <c r="J305" t="s">
        <v>27</v>
      </c>
      <c r="K305">
        <v>2</v>
      </c>
      <c r="L305">
        <v>78.24</v>
      </c>
      <c r="O305" t="s">
        <v>28</v>
      </c>
      <c r="P305" t="s">
        <v>71</v>
      </c>
      <c r="Q305" t="s">
        <v>41</v>
      </c>
      <c r="S305">
        <v>2</v>
      </c>
    </row>
    <row r="306" spans="1:19">
      <c r="A306">
        <v>305</v>
      </c>
      <c r="B306" s="14">
        <v>45993</v>
      </c>
      <c r="C306" t="s">
        <v>85</v>
      </c>
      <c r="D306" t="s">
        <v>56</v>
      </c>
      <c r="E306" t="s">
        <v>107</v>
      </c>
      <c r="F306" t="s">
        <v>91</v>
      </c>
      <c r="H306" t="s">
        <v>46</v>
      </c>
      <c r="I306" t="s">
        <v>38</v>
      </c>
      <c r="J306" t="s">
        <v>39</v>
      </c>
      <c r="K306">
        <v>9</v>
      </c>
      <c r="L306">
        <v>55.04</v>
      </c>
      <c r="M306">
        <v>5</v>
      </c>
      <c r="O306" t="s">
        <v>28</v>
      </c>
      <c r="P306" t="s">
        <v>71</v>
      </c>
      <c r="Q306" t="s">
        <v>41</v>
      </c>
      <c r="R306" t="s">
        <v>42</v>
      </c>
      <c r="S306">
        <v>4</v>
      </c>
    </row>
    <row r="307" spans="1:20">
      <c r="A307">
        <v>306</v>
      </c>
      <c r="B307" s="14">
        <v>45934</v>
      </c>
      <c r="C307" t="s">
        <v>60</v>
      </c>
      <c r="D307" t="s">
        <v>34</v>
      </c>
      <c r="E307" t="s">
        <v>80</v>
      </c>
      <c r="F307" t="s">
        <v>91</v>
      </c>
      <c r="H307" t="s">
        <v>37</v>
      </c>
      <c r="I307" t="s">
        <v>26</v>
      </c>
      <c r="J307" t="s">
        <v>63</v>
      </c>
      <c r="K307">
        <v>41</v>
      </c>
      <c r="L307">
        <v>76.15</v>
      </c>
      <c r="O307" t="s">
        <v>59</v>
      </c>
      <c r="P307" t="s">
        <v>75</v>
      </c>
      <c r="Q307" t="s">
        <v>41</v>
      </c>
      <c r="R307" t="s">
        <v>42</v>
      </c>
      <c r="S307">
        <v>5</v>
      </c>
      <c r="T307" t="s">
        <v>32</v>
      </c>
    </row>
    <row r="308" spans="1:19">
      <c r="A308">
        <v>307</v>
      </c>
      <c r="B308" s="14">
        <v>45703</v>
      </c>
      <c r="C308" t="s">
        <v>85</v>
      </c>
      <c r="D308" t="s">
        <v>56</v>
      </c>
      <c r="E308" t="s">
        <v>116</v>
      </c>
      <c r="F308" t="s">
        <v>70</v>
      </c>
      <c r="G308" t="s">
        <v>45</v>
      </c>
      <c r="H308" t="s">
        <v>25</v>
      </c>
      <c r="I308" t="s">
        <v>53</v>
      </c>
      <c r="J308" t="s">
        <v>27</v>
      </c>
      <c r="K308">
        <v>1</v>
      </c>
      <c r="L308">
        <v>54.72</v>
      </c>
      <c r="M308">
        <v>5</v>
      </c>
      <c r="O308" t="s">
        <v>54</v>
      </c>
      <c r="P308" t="s">
        <v>75</v>
      </c>
      <c r="Q308" t="s">
        <v>65</v>
      </c>
      <c r="S308">
        <v>1</v>
      </c>
    </row>
    <row r="309" spans="1:18">
      <c r="A309">
        <v>308</v>
      </c>
      <c r="B309" s="14">
        <v>45902</v>
      </c>
      <c r="C309" t="s">
        <v>60</v>
      </c>
      <c r="D309" t="s">
        <v>21</v>
      </c>
      <c r="E309" t="s">
        <v>62</v>
      </c>
      <c r="F309" t="s">
        <v>70</v>
      </c>
      <c r="G309" t="s">
        <v>45</v>
      </c>
      <c r="H309" t="s">
        <v>37</v>
      </c>
      <c r="I309" t="s">
        <v>26</v>
      </c>
      <c r="J309" t="s">
        <v>27</v>
      </c>
      <c r="K309">
        <v>36</v>
      </c>
      <c r="L309">
        <v>40.5</v>
      </c>
      <c r="M309">
        <v>15</v>
      </c>
      <c r="O309" t="s">
        <v>59</v>
      </c>
      <c r="P309" t="s">
        <v>29</v>
      </c>
      <c r="Q309" t="s">
        <v>76</v>
      </c>
      <c r="R309" t="s">
        <v>31</v>
      </c>
    </row>
    <row r="310" spans="1:20">
      <c r="A310">
        <v>309</v>
      </c>
      <c r="B310" s="14">
        <v>45851</v>
      </c>
      <c r="C310" t="s">
        <v>50</v>
      </c>
      <c r="D310" t="s">
        <v>56</v>
      </c>
      <c r="E310" t="s">
        <v>122</v>
      </c>
      <c r="F310" t="s">
        <v>70</v>
      </c>
      <c r="H310" t="s">
        <v>25</v>
      </c>
      <c r="I310" t="s">
        <v>47</v>
      </c>
      <c r="J310" t="s">
        <v>48</v>
      </c>
      <c r="K310">
        <v>19</v>
      </c>
      <c r="L310">
        <v>66.6</v>
      </c>
      <c r="O310" t="s">
        <v>54</v>
      </c>
      <c r="P310" t="s">
        <v>29</v>
      </c>
      <c r="Q310" t="s">
        <v>76</v>
      </c>
      <c r="R310" t="s">
        <v>31</v>
      </c>
      <c r="S310">
        <v>2</v>
      </c>
      <c r="T310" t="s">
        <v>32</v>
      </c>
    </row>
    <row r="311" spans="1:20">
      <c r="A311">
        <v>310</v>
      </c>
      <c r="B311" s="14">
        <v>45806</v>
      </c>
      <c r="C311" t="s">
        <v>20</v>
      </c>
      <c r="D311" t="s">
        <v>51</v>
      </c>
      <c r="E311" t="s">
        <v>93</v>
      </c>
      <c r="F311" t="s">
        <v>36</v>
      </c>
      <c r="G311" t="s">
        <v>81</v>
      </c>
      <c r="H311" t="s">
        <v>46</v>
      </c>
      <c r="I311" t="s">
        <v>47</v>
      </c>
      <c r="J311" t="s">
        <v>63</v>
      </c>
      <c r="K311">
        <v>13</v>
      </c>
      <c r="L311">
        <v>35.46</v>
      </c>
      <c r="M311">
        <v>5</v>
      </c>
      <c r="O311" t="s">
        <v>28</v>
      </c>
      <c r="P311" t="s">
        <v>71</v>
      </c>
      <c r="Q311" t="s">
        <v>76</v>
      </c>
      <c r="R311" t="s">
        <v>31</v>
      </c>
      <c r="S311">
        <v>3</v>
      </c>
      <c r="T311" t="s">
        <v>49</v>
      </c>
    </row>
    <row r="312" spans="1:18">
      <c r="A312">
        <v>311</v>
      </c>
      <c r="B312" s="14">
        <v>45722</v>
      </c>
      <c r="C312" t="s">
        <v>55</v>
      </c>
      <c r="D312" t="s">
        <v>83</v>
      </c>
      <c r="E312" t="s">
        <v>113</v>
      </c>
      <c r="F312" t="s">
        <v>44</v>
      </c>
      <c r="G312" t="s">
        <v>24</v>
      </c>
      <c r="H312" t="s">
        <v>58</v>
      </c>
      <c r="I312" t="s">
        <v>26</v>
      </c>
      <c r="J312" t="s">
        <v>27</v>
      </c>
      <c r="K312">
        <v>32</v>
      </c>
      <c r="L312">
        <v>25.63</v>
      </c>
      <c r="M312">
        <v>15</v>
      </c>
      <c r="O312" t="s">
        <v>54</v>
      </c>
      <c r="P312" t="s">
        <v>29</v>
      </c>
      <c r="Q312" t="s">
        <v>41</v>
      </c>
      <c r="R312" t="s">
        <v>42</v>
      </c>
    </row>
    <row r="313" spans="1:20">
      <c r="A313">
        <v>312</v>
      </c>
      <c r="B313" s="14">
        <v>45827</v>
      </c>
      <c r="C313" t="s">
        <v>20</v>
      </c>
      <c r="D313" t="s">
        <v>61</v>
      </c>
      <c r="E313" t="s">
        <v>79</v>
      </c>
      <c r="F313" t="s">
        <v>91</v>
      </c>
      <c r="G313" t="s">
        <v>88</v>
      </c>
      <c r="H313" t="s">
        <v>46</v>
      </c>
      <c r="I313" t="s">
        <v>38</v>
      </c>
      <c r="J313" t="s">
        <v>27</v>
      </c>
      <c r="K313">
        <v>35</v>
      </c>
      <c r="L313">
        <v>49.66</v>
      </c>
      <c r="M313">
        <v>5</v>
      </c>
      <c r="O313" t="s">
        <v>54</v>
      </c>
      <c r="P313" t="s">
        <v>29</v>
      </c>
      <c r="Q313" t="s">
        <v>30</v>
      </c>
      <c r="R313" t="s">
        <v>31</v>
      </c>
      <c r="T313" t="s">
        <v>32</v>
      </c>
    </row>
    <row r="314" spans="1:19">
      <c r="A314">
        <v>313</v>
      </c>
      <c r="B314" s="14">
        <v>45855</v>
      </c>
      <c r="C314" t="s">
        <v>77</v>
      </c>
      <c r="D314" t="s">
        <v>83</v>
      </c>
      <c r="E314" t="s">
        <v>67</v>
      </c>
      <c r="G314" t="s">
        <v>88</v>
      </c>
      <c r="H314" t="s">
        <v>25</v>
      </c>
      <c r="I314" t="s">
        <v>38</v>
      </c>
      <c r="J314" t="s">
        <v>27</v>
      </c>
      <c r="K314">
        <v>34</v>
      </c>
      <c r="L314">
        <v>68.27</v>
      </c>
      <c r="M314">
        <v>5</v>
      </c>
      <c r="O314" t="s">
        <v>59</v>
      </c>
      <c r="P314" t="s">
        <v>29</v>
      </c>
      <c r="Q314" t="s">
        <v>41</v>
      </c>
      <c r="R314" t="s">
        <v>42</v>
      </c>
      <c r="S314">
        <v>2</v>
      </c>
    </row>
    <row r="315" spans="1:20">
      <c r="A315">
        <v>314</v>
      </c>
      <c r="B315" s="14">
        <v>45939</v>
      </c>
      <c r="C315" t="s">
        <v>33</v>
      </c>
      <c r="D315" t="s">
        <v>21</v>
      </c>
      <c r="E315" t="s">
        <v>94</v>
      </c>
      <c r="F315" t="s">
        <v>70</v>
      </c>
      <c r="H315" t="s">
        <v>46</v>
      </c>
      <c r="I315" t="s">
        <v>26</v>
      </c>
      <c r="J315" t="s">
        <v>48</v>
      </c>
      <c r="K315">
        <v>4</v>
      </c>
      <c r="L315">
        <v>87.05</v>
      </c>
      <c r="M315">
        <v>5</v>
      </c>
      <c r="O315" t="s">
        <v>28</v>
      </c>
      <c r="P315" t="s">
        <v>64</v>
      </c>
      <c r="Q315" t="s">
        <v>65</v>
      </c>
      <c r="R315" t="s">
        <v>42</v>
      </c>
      <c r="S315">
        <v>1</v>
      </c>
      <c r="T315" t="s">
        <v>32</v>
      </c>
    </row>
    <row r="316" spans="1:20">
      <c r="A316">
        <v>315</v>
      </c>
      <c r="B316" s="14">
        <v>45799</v>
      </c>
      <c r="C316" t="s">
        <v>33</v>
      </c>
      <c r="D316" t="s">
        <v>21</v>
      </c>
      <c r="E316" t="s">
        <v>87</v>
      </c>
      <c r="F316" t="s">
        <v>91</v>
      </c>
      <c r="G316" t="s">
        <v>88</v>
      </c>
      <c r="H316" t="s">
        <v>58</v>
      </c>
      <c r="I316" t="s">
        <v>47</v>
      </c>
      <c r="J316" t="s">
        <v>63</v>
      </c>
      <c r="K316">
        <v>45</v>
      </c>
      <c r="L316">
        <v>61.64</v>
      </c>
      <c r="M316">
        <v>10</v>
      </c>
      <c r="O316" t="s">
        <v>28</v>
      </c>
      <c r="P316" t="s">
        <v>64</v>
      </c>
      <c r="Q316" t="s">
        <v>76</v>
      </c>
      <c r="R316" t="s">
        <v>42</v>
      </c>
      <c r="S316">
        <v>1</v>
      </c>
      <c r="T316" t="s">
        <v>49</v>
      </c>
    </row>
    <row r="317" spans="1:18">
      <c r="A317">
        <v>316</v>
      </c>
      <c r="B317" s="14">
        <v>45978</v>
      </c>
      <c r="C317" t="s">
        <v>20</v>
      </c>
      <c r="D317" t="s">
        <v>21</v>
      </c>
      <c r="E317" t="s">
        <v>84</v>
      </c>
      <c r="G317" t="s">
        <v>24</v>
      </c>
      <c r="H317" t="s">
        <v>37</v>
      </c>
      <c r="I317" t="s">
        <v>74</v>
      </c>
      <c r="J317" t="s">
        <v>39</v>
      </c>
      <c r="K317">
        <v>32</v>
      </c>
      <c r="L317">
        <v>27.1</v>
      </c>
      <c r="O317" t="s">
        <v>54</v>
      </c>
      <c r="P317" t="s">
        <v>29</v>
      </c>
      <c r="Q317" t="s">
        <v>76</v>
      </c>
      <c r="R317" t="s">
        <v>31</v>
      </c>
    </row>
    <row r="318" spans="1:20">
      <c r="A318">
        <v>317</v>
      </c>
      <c r="B318" s="14">
        <v>45841</v>
      </c>
      <c r="C318" t="s">
        <v>55</v>
      </c>
      <c r="D318" t="s">
        <v>66</v>
      </c>
      <c r="E318" t="s">
        <v>94</v>
      </c>
      <c r="F318" t="s">
        <v>44</v>
      </c>
      <c r="G318" t="s">
        <v>81</v>
      </c>
      <c r="H318" t="s">
        <v>73</v>
      </c>
      <c r="I318" t="s">
        <v>47</v>
      </c>
      <c r="J318" t="s">
        <v>48</v>
      </c>
      <c r="K318">
        <v>35</v>
      </c>
      <c r="L318">
        <v>71.22</v>
      </c>
      <c r="M318">
        <v>5</v>
      </c>
      <c r="O318" t="s">
        <v>40</v>
      </c>
      <c r="P318" t="s">
        <v>75</v>
      </c>
      <c r="Q318" t="s">
        <v>41</v>
      </c>
      <c r="S318">
        <v>4</v>
      </c>
      <c r="T318" t="s">
        <v>49</v>
      </c>
    </row>
    <row r="319" spans="1:20">
      <c r="A319">
        <v>318</v>
      </c>
      <c r="B319" s="14">
        <v>45964</v>
      </c>
      <c r="C319" t="s">
        <v>77</v>
      </c>
      <c r="D319" t="s">
        <v>34</v>
      </c>
      <c r="E319" t="s">
        <v>120</v>
      </c>
      <c r="F319" t="s">
        <v>44</v>
      </c>
      <c r="G319" t="s">
        <v>68</v>
      </c>
      <c r="H319" t="s">
        <v>25</v>
      </c>
      <c r="I319" t="s">
        <v>38</v>
      </c>
      <c r="J319" t="s">
        <v>48</v>
      </c>
      <c r="K319">
        <v>17</v>
      </c>
      <c r="L319">
        <v>56.45</v>
      </c>
      <c r="M319">
        <v>15</v>
      </c>
      <c r="O319" t="s">
        <v>28</v>
      </c>
      <c r="P319" t="s">
        <v>29</v>
      </c>
      <c r="Q319" t="s">
        <v>76</v>
      </c>
      <c r="R319" t="s">
        <v>31</v>
      </c>
      <c r="S319">
        <v>5</v>
      </c>
      <c r="T319" t="s">
        <v>49</v>
      </c>
    </row>
    <row r="320" spans="1:20">
      <c r="A320">
        <v>319</v>
      </c>
      <c r="B320" s="14">
        <v>45975</v>
      </c>
      <c r="C320" t="s">
        <v>50</v>
      </c>
      <c r="D320" t="s">
        <v>56</v>
      </c>
      <c r="E320" t="s">
        <v>113</v>
      </c>
      <c r="F320" t="s">
        <v>44</v>
      </c>
      <c r="H320" t="s">
        <v>37</v>
      </c>
      <c r="I320" t="s">
        <v>38</v>
      </c>
      <c r="J320" t="s">
        <v>39</v>
      </c>
      <c r="K320">
        <v>34</v>
      </c>
      <c r="L320">
        <v>69.91</v>
      </c>
      <c r="O320" t="s">
        <v>40</v>
      </c>
      <c r="P320" t="s">
        <v>75</v>
      </c>
      <c r="Q320" t="s">
        <v>41</v>
      </c>
      <c r="R320" t="s">
        <v>42</v>
      </c>
      <c r="T320" t="s">
        <v>49</v>
      </c>
    </row>
    <row r="321" spans="1:20">
      <c r="A321">
        <v>320</v>
      </c>
      <c r="B321" s="14">
        <v>45714</v>
      </c>
      <c r="C321" t="s">
        <v>20</v>
      </c>
      <c r="D321" t="s">
        <v>34</v>
      </c>
      <c r="E321" t="s">
        <v>112</v>
      </c>
      <c r="F321" t="s">
        <v>44</v>
      </c>
      <c r="G321" t="s">
        <v>88</v>
      </c>
      <c r="H321" t="s">
        <v>25</v>
      </c>
      <c r="I321" t="s">
        <v>26</v>
      </c>
      <c r="J321" t="s">
        <v>27</v>
      </c>
      <c r="K321">
        <v>13</v>
      </c>
      <c r="L321">
        <v>15.17</v>
      </c>
      <c r="M321">
        <v>5</v>
      </c>
      <c r="O321" t="s">
        <v>28</v>
      </c>
      <c r="P321" t="s">
        <v>71</v>
      </c>
      <c r="Q321" t="s">
        <v>65</v>
      </c>
      <c r="S321">
        <v>4</v>
      </c>
      <c r="T321" t="s">
        <v>49</v>
      </c>
    </row>
    <row r="322" spans="1:20">
      <c r="A322">
        <v>321</v>
      </c>
      <c r="B322" s="14">
        <v>45683</v>
      </c>
      <c r="C322" t="s">
        <v>60</v>
      </c>
      <c r="D322" t="s">
        <v>66</v>
      </c>
      <c r="E322" t="s">
        <v>95</v>
      </c>
      <c r="G322" t="s">
        <v>88</v>
      </c>
      <c r="H322" t="s">
        <v>58</v>
      </c>
      <c r="I322" t="s">
        <v>26</v>
      </c>
      <c r="J322" t="s">
        <v>63</v>
      </c>
      <c r="K322">
        <v>6</v>
      </c>
      <c r="L322">
        <v>49.47</v>
      </c>
      <c r="M322">
        <v>0</v>
      </c>
      <c r="O322" t="s">
        <v>54</v>
      </c>
      <c r="P322" t="s">
        <v>29</v>
      </c>
      <c r="Q322" t="s">
        <v>41</v>
      </c>
      <c r="S322">
        <v>1</v>
      </c>
      <c r="T322" t="s">
        <v>49</v>
      </c>
    </row>
    <row r="323" spans="1:20">
      <c r="A323">
        <v>322</v>
      </c>
      <c r="B323" s="14">
        <v>45928</v>
      </c>
      <c r="C323" t="s">
        <v>20</v>
      </c>
      <c r="D323" t="s">
        <v>51</v>
      </c>
      <c r="E323" t="s">
        <v>52</v>
      </c>
      <c r="F323" t="s">
        <v>23</v>
      </c>
      <c r="G323" t="s">
        <v>88</v>
      </c>
      <c r="H323" t="s">
        <v>25</v>
      </c>
      <c r="I323" t="s">
        <v>47</v>
      </c>
      <c r="J323" t="s">
        <v>27</v>
      </c>
      <c r="K323">
        <v>7</v>
      </c>
      <c r="L323">
        <v>73.89</v>
      </c>
      <c r="O323" t="s">
        <v>59</v>
      </c>
      <c r="P323" t="s">
        <v>64</v>
      </c>
      <c r="Q323" t="s">
        <v>76</v>
      </c>
      <c r="T323" t="s">
        <v>32</v>
      </c>
    </row>
    <row r="324" spans="1:20">
      <c r="A324">
        <v>323</v>
      </c>
      <c r="B324" s="14">
        <v>45949</v>
      </c>
      <c r="C324" t="s">
        <v>55</v>
      </c>
      <c r="D324" t="s">
        <v>66</v>
      </c>
      <c r="E324" t="s">
        <v>96</v>
      </c>
      <c r="G324" t="s">
        <v>68</v>
      </c>
      <c r="H324" t="s">
        <v>73</v>
      </c>
      <c r="I324" t="s">
        <v>74</v>
      </c>
      <c r="J324" t="s">
        <v>48</v>
      </c>
      <c r="K324">
        <v>44</v>
      </c>
      <c r="L324">
        <v>48.58</v>
      </c>
      <c r="M324">
        <v>15</v>
      </c>
      <c r="O324" t="s">
        <v>28</v>
      </c>
      <c r="P324" t="s">
        <v>64</v>
      </c>
      <c r="Q324" t="s">
        <v>76</v>
      </c>
      <c r="S324">
        <v>4</v>
      </c>
      <c r="T324" t="s">
        <v>49</v>
      </c>
    </row>
    <row r="325" spans="1:20">
      <c r="A325">
        <v>324</v>
      </c>
      <c r="B325" s="14">
        <v>45994</v>
      </c>
      <c r="C325" t="s">
        <v>50</v>
      </c>
      <c r="D325" t="s">
        <v>34</v>
      </c>
      <c r="E325" t="s">
        <v>95</v>
      </c>
      <c r="F325" t="s">
        <v>70</v>
      </c>
      <c r="G325" t="s">
        <v>45</v>
      </c>
      <c r="H325" t="s">
        <v>46</v>
      </c>
      <c r="I325" t="s">
        <v>47</v>
      </c>
      <c r="J325" t="s">
        <v>48</v>
      </c>
      <c r="K325">
        <v>24</v>
      </c>
      <c r="L325">
        <v>44.17</v>
      </c>
      <c r="M325">
        <v>15</v>
      </c>
      <c r="O325" t="s">
        <v>54</v>
      </c>
      <c r="P325" t="s">
        <v>64</v>
      </c>
      <c r="Q325" t="s">
        <v>76</v>
      </c>
      <c r="R325" t="s">
        <v>42</v>
      </c>
      <c r="S325">
        <v>5</v>
      </c>
      <c r="T325" t="s">
        <v>49</v>
      </c>
    </row>
    <row r="326" spans="1:19">
      <c r="A326">
        <v>325</v>
      </c>
      <c r="B326" s="14">
        <v>45842</v>
      </c>
      <c r="C326" t="s">
        <v>85</v>
      </c>
      <c r="D326" t="s">
        <v>83</v>
      </c>
      <c r="E326" t="s">
        <v>87</v>
      </c>
      <c r="F326" t="s">
        <v>44</v>
      </c>
      <c r="H326" t="s">
        <v>58</v>
      </c>
      <c r="I326" t="s">
        <v>53</v>
      </c>
      <c r="J326" t="s">
        <v>27</v>
      </c>
      <c r="K326">
        <v>34</v>
      </c>
      <c r="L326">
        <v>17.83</v>
      </c>
      <c r="M326">
        <v>10</v>
      </c>
      <c r="O326" t="s">
        <v>28</v>
      </c>
      <c r="P326" t="s">
        <v>75</v>
      </c>
      <c r="Q326" t="s">
        <v>76</v>
      </c>
      <c r="R326" t="s">
        <v>31</v>
      </c>
      <c r="S326">
        <v>3</v>
      </c>
    </row>
    <row r="327" spans="1:20">
      <c r="A327">
        <v>326</v>
      </c>
      <c r="B327" s="14">
        <v>46011</v>
      </c>
      <c r="C327" t="s">
        <v>77</v>
      </c>
      <c r="D327" t="s">
        <v>56</v>
      </c>
      <c r="E327" t="s">
        <v>96</v>
      </c>
      <c r="F327" t="s">
        <v>36</v>
      </c>
      <c r="G327" t="s">
        <v>68</v>
      </c>
      <c r="H327" t="s">
        <v>37</v>
      </c>
      <c r="I327" t="s">
        <v>47</v>
      </c>
      <c r="J327" t="s">
        <v>39</v>
      </c>
      <c r="K327">
        <v>7</v>
      </c>
      <c r="L327">
        <v>8.58</v>
      </c>
      <c r="M327">
        <v>10</v>
      </c>
      <c r="O327" t="s">
        <v>40</v>
      </c>
      <c r="P327" t="s">
        <v>64</v>
      </c>
      <c r="Q327" t="s">
        <v>41</v>
      </c>
      <c r="R327" t="s">
        <v>42</v>
      </c>
      <c r="S327">
        <v>5</v>
      </c>
      <c r="T327" t="s">
        <v>32</v>
      </c>
    </row>
    <row r="328" spans="1:17">
      <c r="A328">
        <v>327</v>
      </c>
      <c r="B328" s="14">
        <v>45777</v>
      </c>
      <c r="C328" t="s">
        <v>60</v>
      </c>
      <c r="D328" t="s">
        <v>61</v>
      </c>
      <c r="E328" t="s">
        <v>114</v>
      </c>
      <c r="F328" t="s">
        <v>44</v>
      </c>
      <c r="G328" t="s">
        <v>68</v>
      </c>
      <c r="H328" t="s">
        <v>73</v>
      </c>
      <c r="I328" t="s">
        <v>47</v>
      </c>
      <c r="J328" t="s">
        <v>39</v>
      </c>
      <c r="K328">
        <v>47</v>
      </c>
      <c r="L328">
        <v>12.33</v>
      </c>
      <c r="M328">
        <v>10</v>
      </c>
      <c r="O328" t="s">
        <v>59</v>
      </c>
      <c r="P328" t="s">
        <v>64</v>
      </c>
      <c r="Q328" t="s">
        <v>65</v>
      </c>
    </row>
    <row r="329" spans="1:17">
      <c r="A329">
        <v>328</v>
      </c>
      <c r="B329" s="14">
        <v>45962</v>
      </c>
      <c r="C329" t="s">
        <v>55</v>
      </c>
      <c r="D329" t="s">
        <v>56</v>
      </c>
      <c r="E329" t="s">
        <v>118</v>
      </c>
      <c r="G329" t="s">
        <v>68</v>
      </c>
      <c r="H329" t="s">
        <v>73</v>
      </c>
      <c r="I329" t="s">
        <v>74</v>
      </c>
      <c r="J329" t="s">
        <v>27</v>
      </c>
      <c r="K329">
        <v>50</v>
      </c>
      <c r="L329">
        <v>36.77</v>
      </c>
      <c r="M329">
        <v>15</v>
      </c>
      <c r="O329" t="s">
        <v>59</v>
      </c>
      <c r="P329" t="s">
        <v>71</v>
      </c>
      <c r="Q329" t="s">
        <v>76</v>
      </c>
    </row>
    <row r="330" spans="1:17">
      <c r="A330">
        <v>329</v>
      </c>
      <c r="B330" s="14">
        <v>45982</v>
      </c>
      <c r="C330" t="s">
        <v>77</v>
      </c>
      <c r="D330" t="s">
        <v>51</v>
      </c>
      <c r="E330" t="s">
        <v>43</v>
      </c>
      <c r="F330" t="s">
        <v>44</v>
      </c>
      <c r="G330" t="s">
        <v>45</v>
      </c>
      <c r="H330" t="s">
        <v>37</v>
      </c>
      <c r="I330" t="s">
        <v>74</v>
      </c>
      <c r="J330" t="s">
        <v>48</v>
      </c>
      <c r="K330">
        <v>35</v>
      </c>
      <c r="L330">
        <v>58.67</v>
      </c>
      <c r="M330">
        <v>10</v>
      </c>
      <c r="O330" t="s">
        <v>40</v>
      </c>
      <c r="P330" t="s">
        <v>64</v>
      </c>
      <c r="Q330" t="s">
        <v>30</v>
      </c>
    </row>
    <row r="331" spans="1:20">
      <c r="A331">
        <v>330</v>
      </c>
      <c r="B331" s="14">
        <v>45886</v>
      </c>
      <c r="C331" t="s">
        <v>77</v>
      </c>
      <c r="D331" t="s">
        <v>34</v>
      </c>
      <c r="E331" t="s">
        <v>100</v>
      </c>
      <c r="F331" t="s">
        <v>36</v>
      </c>
      <c r="G331" t="s">
        <v>88</v>
      </c>
      <c r="H331" t="s">
        <v>25</v>
      </c>
      <c r="I331" t="s">
        <v>38</v>
      </c>
      <c r="J331" t="s">
        <v>48</v>
      </c>
      <c r="K331">
        <v>26</v>
      </c>
      <c r="L331">
        <v>19.06</v>
      </c>
      <c r="M331">
        <v>10</v>
      </c>
      <c r="O331" t="s">
        <v>28</v>
      </c>
      <c r="P331" t="s">
        <v>29</v>
      </c>
      <c r="Q331" t="s">
        <v>30</v>
      </c>
      <c r="S331">
        <v>4</v>
      </c>
      <c r="T331" t="s">
        <v>49</v>
      </c>
    </row>
    <row r="332" spans="1:19">
      <c r="A332">
        <v>331</v>
      </c>
      <c r="B332" s="14">
        <v>45701</v>
      </c>
      <c r="C332" t="s">
        <v>85</v>
      </c>
      <c r="D332" t="s">
        <v>34</v>
      </c>
      <c r="E332" t="s">
        <v>103</v>
      </c>
      <c r="G332" t="s">
        <v>24</v>
      </c>
      <c r="H332" t="s">
        <v>25</v>
      </c>
      <c r="I332" t="s">
        <v>38</v>
      </c>
      <c r="J332" t="s">
        <v>39</v>
      </c>
      <c r="K332">
        <v>32</v>
      </c>
      <c r="L332">
        <v>42.56</v>
      </c>
      <c r="O332" t="s">
        <v>40</v>
      </c>
      <c r="P332" t="s">
        <v>64</v>
      </c>
      <c r="Q332" t="s">
        <v>76</v>
      </c>
      <c r="R332" t="s">
        <v>31</v>
      </c>
      <c r="S332">
        <v>3</v>
      </c>
    </row>
    <row r="333" spans="1:19">
      <c r="A333">
        <v>332</v>
      </c>
      <c r="B333" s="14">
        <v>45823</v>
      </c>
      <c r="C333" t="s">
        <v>55</v>
      </c>
      <c r="D333" t="s">
        <v>34</v>
      </c>
      <c r="E333" t="s">
        <v>122</v>
      </c>
      <c r="F333" t="s">
        <v>44</v>
      </c>
      <c r="H333" t="s">
        <v>73</v>
      </c>
      <c r="I333" t="s">
        <v>38</v>
      </c>
      <c r="J333" t="s">
        <v>48</v>
      </c>
      <c r="K333">
        <v>23</v>
      </c>
      <c r="L333">
        <v>23.1</v>
      </c>
      <c r="M333">
        <v>10</v>
      </c>
      <c r="O333" t="s">
        <v>28</v>
      </c>
      <c r="P333" t="s">
        <v>75</v>
      </c>
      <c r="Q333" t="s">
        <v>76</v>
      </c>
      <c r="R333" t="s">
        <v>42</v>
      </c>
      <c r="S333">
        <v>5</v>
      </c>
    </row>
    <row r="334" spans="1:18">
      <c r="A334">
        <v>333</v>
      </c>
      <c r="B334" s="14">
        <v>45977</v>
      </c>
      <c r="C334" t="s">
        <v>50</v>
      </c>
      <c r="D334" t="s">
        <v>83</v>
      </c>
      <c r="E334" t="s">
        <v>118</v>
      </c>
      <c r="F334" t="s">
        <v>91</v>
      </c>
      <c r="G334" t="s">
        <v>24</v>
      </c>
      <c r="H334" t="s">
        <v>46</v>
      </c>
      <c r="I334" t="s">
        <v>26</v>
      </c>
      <c r="J334" t="s">
        <v>27</v>
      </c>
      <c r="K334">
        <v>8</v>
      </c>
      <c r="L334">
        <v>75.26</v>
      </c>
      <c r="M334">
        <v>5</v>
      </c>
      <c r="O334" t="s">
        <v>40</v>
      </c>
      <c r="P334" t="s">
        <v>75</v>
      </c>
      <c r="Q334" t="s">
        <v>30</v>
      </c>
      <c r="R334" t="s">
        <v>42</v>
      </c>
    </row>
    <row r="335" spans="1:19">
      <c r="A335">
        <v>334</v>
      </c>
      <c r="B335" s="14">
        <v>45814</v>
      </c>
      <c r="C335" t="s">
        <v>85</v>
      </c>
      <c r="D335" t="s">
        <v>83</v>
      </c>
      <c r="E335" t="s">
        <v>35</v>
      </c>
      <c r="F335" t="s">
        <v>23</v>
      </c>
      <c r="G335" t="s">
        <v>24</v>
      </c>
      <c r="H335" t="s">
        <v>37</v>
      </c>
      <c r="I335" t="s">
        <v>26</v>
      </c>
      <c r="J335" t="s">
        <v>39</v>
      </c>
      <c r="K335">
        <v>35</v>
      </c>
      <c r="L335">
        <v>54.71</v>
      </c>
      <c r="M335">
        <v>10</v>
      </c>
      <c r="O335" t="s">
        <v>59</v>
      </c>
      <c r="P335" t="s">
        <v>64</v>
      </c>
      <c r="Q335" t="s">
        <v>30</v>
      </c>
      <c r="R335" t="s">
        <v>42</v>
      </c>
      <c r="S335">
        <v>5</v>
      </c>
    </row>
    <row r="336" spans="1:20">
      <c r="A336">
        <v>335</v>
      </c>
      <c r="B336" s="14">
        <v>45788</v>
      </c>
      <c r="C336" t="s">
        <v>50</v>
      </c>
      <c r="D336" t="s">
        <v>21</v>
      </c>
      <c r="E336" t="s">
        <v>72</v>
      </c>
      <c r="F336" t="s">
        <v>91</v>
      </c>
      <c r="H336" t="s">
        <v>37</v>
      </c>
      <c r="I336" t="s">
        <v>53</v>
      </c>
      <c r="J336" t="s">
        <v>27</v>
      </c>
      <c r="K336">
        <v>30</v>
      </c>
      <c r="L336">
        <v>67.2</v>
      </c>
      <c r="M336">
        <v>0</v>
      </c>
      <c r="O336" t="s">
        <v>28</v>
      </c>
      <c r="P336" t="s">
        <v>29</v>
      </c>
      <c r="Q336" t="s">
        <v>41</v>
      </c>
      <c r="T336" t="s">
        <v>49</v>
      </c>
    </row>
    <row r="337" spans="1:19">
      <c r="A337">
        <v>336</v>
      </c>
      <c r="B337" s="14">
        <v>45713</v>
      </c>
      <c r="C337" t="s">
        <v>20</v>
      </c>
      <c r="D337" t="s">
        <v>56</v>
      </c>
      <c r="E337" t="s">
        <v>109</v>
      </c>
      <c r="F337" t="s">
        <v>70</v>
      </c>
      <c r="G337" t="s">
        <v>24</v>
      </c>
      <c r="H337" t="s">
        <v>73</v>
      </c>
      <c r="I337" t="s">
        <v>47</v>
      </c>
      <c r="J337" t="s">
        <v>27</v>
      </c>
      <c r="K337">
        <v>21</v>
      </c>
      <c r="L337">
        <v>51.04</v>
      </c>
      <c r="O337" t="s">
        <v>28</v>
      </c>
      <c r="P337" t="s">
        <v>64</v>
      </c>
      <c r="Q337" t="s">
        <v>76</v>
      </c>
      <c r="S337">
        <v>4</v>
      </c>
    </row>
    <row r="338" spans="1:20">
      <c r="A338">
        <v>337</v>
      </c>
      <c r="B338" s="14">
        <v>45678</v>
      </c>
      <c r="C338" t="s">
        <v>50</v>
      </c>
      <c r="D338" t="s">
        <v>34</v>
      </c>
      <c r="E338" t="s">
        <v>114</v>
      </c>
      <c r="F338" t="s">
        <v>23</v>
      </c>
      <c r="G338" t="s">
        <v>81</v>
      </c>
      <c r="H338" t="s">
        <v>73</v>
      </c>
      <c r="I338" t="s">
        <v>26</v>
      </c>
      <c r="J338" t="s">
        <v>27</v>
      </c>
      <c r="K338">
        <v>23</v>
      </c>
      <c r="L338">
        <v>70.01</v>
      </c>
      <c r="M338">
        <v>10</v>
      </c>
      <c r="O338" t="s">
        <v>54</v>
      </c>
      <c r="P338" t="s">
        <v>64</v>
      </c>
      <c r="Q338" t="s">
        <v>41</v>
      </c>
      <c r="R338" t="s">
        <v>31</v>
      </c>
      <c r="T338" t="s">
        <v>49</v>
      </c>
    </row>
    <row r="339" spans="1:19">
      <c r="A339">
        <v>338</v>
      </c>
      <c r="B339" s="14">
        <v>45856</v>
      </c>
      <c r="C339" t="s">
        <v>77</v>
      </c>
      <c r="D339" t="s">
        <v>21</v>
      </c>
      <c r="E339" t="s">
        <v>96</v>
      </c>
      <c r="F339" t="s">
        <v>23</v>
      </c>
      <c r="G339" t="s">
        <v>24</v>
      </c>
      <c r="H339" t="s">
        <v>25</v>
      </c>
      <c r="I339" t="s">
        <v>53</v>
      </c>
      <c r="J339" t="s">
        <v>63</v>
      </c>
      <c r="K339">
        <v>43</v>
      </c>
      <c r="L339">
        <v>18.04</v>
      </c>
      <c r="M339">
        <v>15</v>
      </c>
      <c r="O339" t="s">
        <v>40</v>
      </c>
      <c r="P339" t="s">
        <v>29</v>
      </c>
      <c r="Q339" t="s">
        <v>76</v>
      </c>
      <c r="S339">
        <v>2</v>
      </c>
    </row>
    <row r="340" spans="1:20">
      <c r="A340">
        <v>339</v>
      </c>
      <c r="B340" s="14">
        <v>45817</v>
      </c>
      <c r="C340" t="s">
        <v>33</v>
      </c>
      <c r="D340" t="s">
        <v>56</v>
      </c>
      <c r="E340" t="s">
        <v>80</v>
      </c>
      <c r="F340" t="s">
        <v>36</v>
      </c>
      <c r="G340" t="s">
        <v>24</v>
      </c>
      <c r="H340" t="s">
        <v>25</v>
      </c>
      <c r="I340" t="s">
        <v>26</v>
      </c>
      <c r="J340" t="s">
        <v>39</v>
      </c>
      <c r="K340">
        <v>9</v>
      </c>
      <c r="L340">
        <v>34.35</v>
      </c>
      <c r="O340" t="s">
        <v>40</v>
      </c>
      <c r="P340" t="s">
        <v>29</v>
      </c>
      <c r="Q340" t="s">
        <v>76</v>
      </c>
      <c r="S340">
        <v>5</v>
      </c>
      <c r="T340" t="s">
        <v>32</v>
      </c>
    </row>
    <row r="341" spans="1:20">
      <c r="A341">
        <v>340</v>
      </c>
      <c r="B341" s="14">
        <v>45820</v>
      </c>
      <c r="C341" t="s">
        <v>20</v>
      </c>
      <c r="D341" t="s">
        <v>34</v>
      </c>
      <c r="E341" t="s">
        <v>121</v>
      </c>
      <c r="G341" t="s">
        <v>88</v>
      </c>
      <c r="H341" t="s">
        <v>25</v>
      </c>
      <c r="I341" t="s">
        <v>53</v>
      </c>
      <c r="J341" t="s">
        <v>39</v>
      </c>
      <c r="K341">
        <v>47</v>
      </c>
      <c r="L341">
        <v>7.8</v>
      </c>
      <c r="M341">
        <v>10</v>
      </c>
      <c r="O341" t="s">
        <v>59</v>
      </c>
      <c r="P341" t="s">
        <v>29</v>
      </c>
      <c r="Q341" t="s">
        <v>41</v>
      </c>
      <c r="R341" t="s">
        <v>42</v>
      </c>
      <c r="T341" t="s">
        <v>49</v>
      </c>
    </row>
    <row r="342" spans="1:19">
      <c r="A342">
        <v>341</v>
      </c>
      <c r="B342" s="14">
        <v>45735</v>
      </c>
      <c r="C342" t="s">
        <v>77</v>
      </c>
      <c r="D342" t="s">
        <v>66</v>
      </c>
      <c r="E342" t="s">
        <v>106</v>
      </c>
      <c r="F342" t="s">
        <v>91</v>
      </c>
      <c r="G342" t="s">
        <v>24</v>
      </c>
      <c r="H342" t="s">
        <v>58</v>
      </c>
      <c r="I342" t="s">
        <v>47</v>
      </c>
      <c r="J342" t="s">
        <v>48</v>
      </c>
      <c r="K342">
        <v>39</v>
      </c>
      <c r="L342">
        <v>58.87</v>
      </c>
      <c r="M342">
        <v>5</v>
      </c>
      <c r="O342" t="s">
        <v>40</v>
      </c>
      <c r="P342" t="s">
        <v>64</v>
      </c>
      <c r="Q342" t="s">
        <v>30</v>
      </c>
      <c r="R342" t="s">
        <v>42</v>
      </c>
      <c r="S342">
        <v>1</v>
      </c>
    </row>
    <row r="343" spans="1:20">
      <c r="A343">
        <v>342</v>
      </c>
      <c r="B343" s="14">
        <v>45726</v>
      </c>
      <c r="C343" t="s">
        <v>33</v>
      </c>
      <c r="D343" t="s">
        <v>61</v>
      </c>
      <c r="E343" t="s">
        <v>95</v>
      </c>
      <c r="F343" t="s">
        <v>70</v>
      </c>
      <c r="H343" t="s">
        <v>46</v>
      </c>
      <c r="I343" t="s">
        <v>26</v>
      </c>
      <c r="J343" t="s">
        <v>63</v>
      </c>
      <c r="K343">
        <v>32</v>
      </c>
      <c r="L343">
        <v>50.02</v>
      </c>
      <c r="M343">
        <v>5</v>
      </c>
      <c r="O343" t="s">
        <v>40</v>
      </c>
      <c r="P343" t="s">
        <v>64</v>
      </c>
      <c r="Q343" t="s">
        <v>30</v>
      </c>
      <c r="R343" t="s">
        <v>42</v>
      </c>
      <c r="S343">
        <v>1</v>
      </c>
      <c r="T343" t="s">
        <v>49</v>
      </c>
    </row>
    <row r="344" spans="1:19">
      <c r="A344">
        <v>343</v>
      </c>
      <c r="B344" s="14">
        <v>45869</v>
      </c>
      <c r="C344" t="s">
        <v>50</v>
      </c>
      <c r="D344" t="s">
        <v>51</v>
      </c>
      <c r="E344" t="s">
        <v>112</v>
      </c>
      <c r="F344" t="s">
        <v>91</v>
      </c>
      <c r="G344" t="s">
        <v>24</v>
      </c>
      <c r="H344" t="s">
        <v>58</v>
      </c>
      <c r="I344" t="s">
        <v>26</v>
      </c>
      <c r="J344" t="s">
        <v>63</v>
      </c>
      <c r="K344">
        <v>40</v>
      </c>
      <c r="L344">
        <v>51.54</v>
      </c>
      <c r="M344">
        <v>10</v>
      </c>
      <c r="O344" t="s">
        <v>59</v>
      </c>
      <c r="P344" t="s">
        <v>64</v>
      </c>
      <c r="Q344" t="s">
        <v>65</v>
      </c>
      <c r="R344" t="s">
        <v>42</v>
      </c>
      <c r="S344">
        <v>1</v>
      </c>
    </row>
    <row r="345" spans="1:19">
      <c r="A345">
        <v>344</v>
      </c>
      <c r="B345" s="14">
        <v>45818</v>
      </c>
      <c r="C345" t="s">
        <v>85</v>
      </c>
      <c r="D345" t="s">
        <v>34</v>
      </c>
      <c r="E345" t="s">
        <v>22</v>
      </c>
      <c r="F345" t="s">
        <v>36</v>
      </c>
      <c r="G345" t="s">
        <v>68</v>
      </c>
      <c r="H345" t="s">
        <v>37</v>
      </c>
      <c r="I345" t="s">
        <v>47</v>
      </c>
      <c r="J345" t="s">
        <v>27</v>
      </c>
      <c r="K345">
        <v>34</v>
      </c>
      <c r="L345">
        <v>15.39</v>
      </c>
      <c r="M345">
        <v>15</v>
      </c>
      <c r="O345" t="s">
        <v>28</v>
      </c>
      <c r="P345" t="s">
        <v>64</v>
      </c>
      <c r="Q345" t="s">
        <v>65</v>
      </c>
      <c r="S345">
        <v>1</v>
      </c>
    </row>
    <row r="346" spans="1:20">
      <c r="A346">
        <v>345</v>
      </c>
      <c r="B346" s="14">
        <v>45922</v>
      </c>
      <c r="C346" t="s">
        <v>77</v>
      </c>
      <c r="D346" t="s">
        <v>51</v>
      </c>
      <c r="E346" t="s">
        <v>117</v>
      </c>
      <c r="F346" t="s">
        <v>91</v>
      </c>
      <c r="G346" t="s">
        <v>45</v>
      </c>
      <c r="H346" t="s">
        <v>73</v>
      </c>
      <c r="I346" t="s">
        <v>38</v>
      </c>
      <c r="J346" t="s">
        <v>48</v>
      </c>
      <c r="K346">
        <v>50</v>
      </c>
      <c r="L346">
        <v>83.62</v>
      </c>
      <c r="M346">
        <v>15</v>
      </c>
      <c r="O346" t="s">
        <v>40</v>
      </c>
      <c r="P346" t="s">
        <v>29</v>
      </c>
      <c r="Q346" t="s">
        <v>41</v>
      </c>
      <c r="S346">
        <v>1</v>
      </c>
      <c r="T346" t="s">
        <v>32</v>
      </c>
    </row>
    <row r="347" spans="1:19">
      <c r="A347">
        <v>346</v>
      </c>
      <c r="B347" s="14">
        <v>45895</v>
      </c>
      <c r="C347" t="s">
        <v>77</v>
      </c>
      <c r="D347" t="s">
        <v>51</v>
      </c>
      <c r="E347" t="s">
        <v>80</v>
      </c>
      <c r="F347" t="s">
        <v>44</v>
      </c>
      <c r="H347" t="s">
        <v>37</v>
      </c>
      <c r="I347" t="s">
        <v>74</v>
      </c>
      <c r="J347" t="s">
        <v>39</v>
      </c>
      <c r="K347">
        <v>50</v>
      </c>
      <c r="L347">
        <v>60.62</v>
      </c>
      <c r="O347" t="s">
        <v>40</v>
      </c>
      <c r="P347" t="s">
        <v>29</v>
      </c>
      <c r="Q347" t="s">
        <v>65</v>
      </c>
      <c r="R347" t="s">
        <v>42</v>
      </c>
      <c r="S347">
        <v>4</v>
      </c>
    </row>
    <row r="348" spans="1:20">
      <c r="A348">
        <v>347</v>
      </c>
      <c r="B348" s="14">
        <v>45749</v>
      </c>
      <c r="C348" t="s">
        <v>85</v>
      </c>
      <c r="D348" t="s">
        <v>34</v>
      </c>
      <c r="E348" t="s">
        <v>102</v>
      </c>
      <c r="F348" t="s">
        <v>91</v>
      </c>
      <c r="G348" t="s">
        <v>81</v>
      </c>
      <c r="H348" t="s">
        <v>58</v>
      </c>
      <c r="I348" t="s">
        <v>53</v>
      </c>
      <c r="J348" t="s">
        <v>48</v>
      </c>
      <c r="K348">
        <v>45</v>
      </c>
      <c r="L348">
        <v>66.61</v>
      </c>
      <c r="M348">
        <v>5</v>
      </c>
      <c r="O348" t="s">
        <v>28</v>
      </c>
      <c r="P348" t="s">
        <v>71</v>
      </c>
      <c r="Q348" t="s">
        <v>30</v>
      </c>
      <c r="S348">
        <v>4</v>
      </c>
      <c r="T348" t="s">
        <v>49</v>
      </c>
    </row>
    <row r="349" spans="1:19">
      <c r="A349">
        <v>348</v>
      </c>
      <c r="B349" s="14">
        <v>45701</v>
      </c>
      <c r="C349" t="s">
        <v>33</v>
      </c>
      <c r="D349" t="s">
        <v>51</v>
      </c>
      <c r="E349" t="s">
        <v>43</v>
      </c>
      <c r="G349" t="s">
        <v>68</v>
      </c>
      <c r="H349" t="s">
        <v>37</v>
      </c>
      <c r="I349" t="s">
        <v>26</v>
      </c>
      <c r="J349" t="s">
        <v>63</v>
      </c>
      <c r="K349">
        <v>36</v>
      </c>
      <c r="L349">
        <v>41.16</v>
      </c>
      <c r="M349">
        <v>5</v>
      </c>
      <c r="O349" t="s">
        <v>54</v>
      </c>
      <c r="P349" t="s">
        <v>64</v>
      </c>
      <c r="Q349" t="s">
        <v>76</v>
      </c>
      <c r="R349" t="s">
        <v>31</v>
      </c>
      <c r="S349">
        <v>2</v>
      </c>
    </row>
    <row r="350" spans="1:19">
      <c r="A350">
        <v>349</v>
      </c>
      <c r="B350" s="14">
        <v>45872</v>
      </c>
      <c r="C350" t="s">
        <v>60</v>
      </c>
      <c r="D350" t="s">
        <v>56</v>
      </c>
      <c r="E350" t="s">
        <v>113</v>
      </c>
      <c r="F350" t="s">
        <v>70</v>
      </c>
      <c r="G350" t="s">
        <v>45</v>
      </c>
      <c r="H350" t="s">
        <v>25</v>
      </c>
      <c r="I350" t="s">
        <v>74</v>
      </c>
      <c r="J350" t="s">
        <v>39</v>
      </c>
      <c r="K350">
        <v>13</v>
      </c>
      <c r="L350">
        <v>5.34</v>
      </c>
      <c r="M350">
        <v>10</v>
      </c>
      <c r="O350" t="s">
        <v>28</v>
      </c>
      <c r="P350" t="s">
        <v>29</v>
      </c>
      <c r="Q350" t="s">
        <v>65</v>
      </c>
      <c r="R350" t="s">
        <v>42</v>
      </c>
      <c r="S350">
        <v>5</v>
      </c>
    </row>
    <row r="351" spans="1:20">
      <c r="A351">
        <v>350</v>
      </c>
      <c r="B351" s="14">
        <v>45969</v>
      </c>
      <c r="C351" t="s">
        <v>85</v>
      </c>
      <c r="D351" t="s">
        <v>66</v>
      </c>
      <c r="E351" t="s">
        <v>110</v>
      </c>
      <c r="F351" t="s">
        <v>36</v>
      </c>
      <c r="H351" t="s">
        <v>73</v>
      </c>
      <c r="I351" t="s">
        <v>38</v>
      </c>
      <c r="J351" t="s">
        <v>63</v>
      </c>
      <c r="K351">
        <v>29</v>
      </c>
      <c r="L351">
        <v>12.54</v>
      </c>
      <c r="O351" t="s">
        <v>28</v>
      </c>
      <c r="P351" t="s">
        <v>64</v>
      </c>
      <c r="Q351" t="s">
        <v>41</v>
      </c>
      <c r="T351" t="s">
        <v>32</v>
      </c>
    </row>
    <row r="352" spans="1:19">
      <c r="A352">
        <v>351</v>
      </c>
      <c r="B352" s="14">
        <v>45683</v>
      </c>
      <c r="C352" t="s">
        <v>50</v>
      </c>
      <c r="D352" t="s">
        <v>66</v>
      </c>
      <c r="E352" t="s">
        <v>117</v>
      </c>
      <c r="G352" t="s">
        <v>45</v>
      </c>
      <c r="H352" t="s">
        <v>58</v>
      </c>
      <c r="I352" t="s">
        <v>26</v>
      </c>
      <c r="J352" t="s">
        <v>27</v>
      </c>
      <c r="K352">
        <v>43</v>
      </c>
      <c r="L352">
        <v>59.92</v>
      </c>
      <c r="O352" t="s">
        <v>54</v>
      </c>
      <c r="P352" t="s">
        <v>75</v>
      </c>
      <c r="Q352" t="s">
        <v>30</v>
      </c>
      <c r="R352" t="s">
        <v>31</v>
      </c>
      <c r="S352">
        <v>1</v>
      </c>
    </row>
    <row r="353" spans="1:19">
      <c r="A353">
        <v>352</v>
      </c>
      <c r="B353" s="14">
        <v>45749</v>
      </c>
      <c r="C353" t="s">
        <v>50</v>
      </c>
      <c r="D353" t="s">
        <v>51</v>
      </c>
      <c r="E353" t="s">
        <v>72</v>
      </c>
      <c r="F353" t="s">
        <v>36</v>
      </c>
      <c r="H353" t="s">
        <v>37</v>
      </c>
      <c r="I353" t="s">
        <v>47</v>
      </c>
      <c r="J353" t="s">
        <v>39</v>
      </c>
      <c r="K353">
        <v>30</v>
      </c>
      <c r="L353">
        <v>76.19</v>
      </c>
      <c r="M353">
        <v>10</v>
      </c>
      <c r="O353" t="s">
        <v>28</v>
      </c>
      <c r="P353" t="s">
        <v>71</v>
      </c>
      <c r="Q353" t="s">
        <v>41</v>
      </c>
      <c r="R353" t="s">
        <v>42</v>
      </c>
      <c r="S353">
        <v>3</v>
      </c>
    </row>
    <row r="354" spans="1:19">
      <c r="A354">
        <v>353</v>
      </c>
      <c r="B354" s="14">
        <v>45692</v>
      </c>
      <c r="C354" t="s">
        <v>77</v>
      </c>
      <c r="D354" t="s">
        <v>83</v>
      </c>
      <c r="E354" t="s">
        <v>96</v>
      </c>
      <c r="F354" t="s">
        <v>44</v>
      </c>
      <c r="G354" t="s">
        <v>45</v>
      </c>
      <c r="H354" t="s">
        <v>73</v>
      </c>
      <c r="I354" t="s">
        <v>26</v>
      </c>
      <c r="J354" t="s">
        <v>27</v>
      </c>
      <c r="K354">
        <v>45</v>
      </c>
      <c r="L354">
        <v>86.64</v>
      </c>
      <c r="M354">
        <v>10</v>
      </c>
      <c r="O354" t="s">
        <v>59</v>
      </c>
      <c r="P354" t="s">
        <v>64</v>
      </c>
      <c r="Q354" t="s">
        <v>76</v>
      </c>
      <c r="S354">
        <v>1</v>
      </c>
    </row>
    <row r="355" spans="1:17">
      <c r="A355">
        <v>354</v>
      </c>
      <c r="B355" s="14">
        <v>45950</v>
      </c>
      <c r="C355" t="s">
        <v>55</v>
      </c>
      <c r="D355" t="s">
        <v>51</v>
      </c>
      <c r="E355" t="s">
        <v>99</v>
      </c>
      <c r="F355" t="s">
        <v>44</v>
      </c>
      <c r="G355" t="s">
        <v>81</v>
      </c>
      <c r="H355" t="s">
        <v>37</v>
      </c>
      <c r="I355" t="s">
        <v>53</v>
      </c>
      <c r="J355" t="s">
        <v>63</v>
      </c>
      <c r="K355">
        <v>39</v>
      </c>
      <c r="L355">
        <v>85.54</v>
      </c>
      <c r="M355">
        <v>10</v>
      </c>
      <c r="O355" t="s">
        <v>54</v>
      </c>
      <c r="P355" t="s">
        <v>64</v>
      </c>
      <c r="Q355" t="s">
        <v>65</v>
      </c>
    </row>
    <row r="356" spans="1:20">
      <c r="A356">
        <v>355</v>
      </c>
      <c r="B356" s="14">
        <v>45910</v>
      </c>
      <c r="C356" t="s">
        <v>77</v>
      </c>
      <c r="D356" t="s">
        <v>66</v>
      </c>
      <c r="E356" t="s">
        <v>123</v>
      </c>
      <c r="F356" t="s">
        <v>91</v>
      </c>
      <c r="H356" t="s">
        <v>46</v>
      </c>
      <c r="I356" t="s">
        <v>26</v>
      </c>
      <c r="J356" t="s">
        <v>27</v>
      </c>
      <c r="K356">
        <v>8</v>
      </c>
      <c r="L356">
        <v>7.28</v>
      </c>
      <c r="M356">
        <v>0</v>
      </c>
      <c r="O356" t="s">
        <v>40</v>
      </c>
      <c r="P356" t="s">
        <v>29</v>
      </c>
      <c r="Q356" t="s">
        <v>65</v>
      </c>
      <c r="R356" t="s">
        <v>31</v>
      </c>
      <c r="S356">
        <v>3</v>
      </c>
      <c r="T356" t="s">
        <v>49</v>
      </c>
    </row>
    <row r="357" spans="1:20">
      <c r="A357">
        <v>356</v>
      </c>
      <c r="B357" s="14">
        <v>45944</v>
      </c>
      <c r="C357" t="s">
        <v>77</v>
      </c>
      <c r="D357" t="s">
        <v>51</v>
      </c>
      <c r="E357" t="s">
        <v>110</v>
      </c>
      <c r="F357" t="s">
        <v>44</v>
      </c>
      <c r="H357" t="s">
        <v>25</v>
      </c>
      <c r="I357" t="s">
        <v>53</v>
      </c>
      <c r="J357" t="s">
        <v>48</v>
      </c>
      <c r="K357">
        <v>5</v>
      </c>
      <c r="L357">
        <v>34.24</v>
      </c>
      <c r="O357" t="s">
        <v>54</v>
      </c>
      <c r="P357" t="s">
        <v>71</v>
      </c>
      <c r="Q357" t="s">
        <v>30</v>
      </c>
      <c r="S357">
        <v>3</v>
      </c>
      <c r="T357" t="s">
        <v>49</v>
      </c>
    </row>
    <row r="358" spans="1:18">
      <c r="A358">
        <v>357</v>
      </c>
      <c r="B358" s="14">
        <v>45860</v>
      </c>
      <c r="C358" t="s">
        <v>55</v>
      </c>
      <c r="D358" t="s">
        <v>34</v>
      </c>
      <c r="E358" t="s">
        <v>123</v>
      </c>
      <c r="F358" t="s">
        <v>44</v>
      </c>
      <c r="G358" t="s">
        <v>24</v>
      </c>
      <c r="H358" t="s">
        <v>25</v>
      </c>
      <c r="I358" t="s">
        <v>53</v>
      </c>
      <c r="J358" t="s">
        <v>48</v>
      </c>
      <c r="K358">
        <v>44</v>
      </c>
      <c r="L358">
        <v>50.52</v>
      </c>
      <c r="M358">
        <v>15</v>
      </c>
      <c r="O358" t="s">
        <v>28</v>
      </c>
      <c r="P358" t="s">
        <v>64</v>
      </c>
      <c r="Q358" t="s">
        <v>65</v>
      </c>
      <c r="R358" t="s">
        <v>31</v>
      </c>
    </row>
    <row r="359" spans="1:19">
      <c r="A359">
        <v>358</v>
      </c>
      <c r="B359" s="14">
        <v>45932</v>
      </c>
      <c r="C359" t="s">
        <v>60</v>
      </c>
      <c r="D359" t="s">
        <v>83</v>
      </c>
      <c r="E359" t="s">
        <v>97</v>
      </c>
      <c r="G359" t="s">
        <v>88</v>
      </c>
      <c r="H359" t="s">
        <v>37</v>
      </c>
      <c r="I359" t="s">
        <v>53</v>
      </c>
      <c r="J359" t="s">
        <v>48</v>
      </c>
      <c r="K359">
        <v>36</v>
      </c>
      <c r="L359">
        <v>55.91</v>
      </c>
      <c r="M359">
        <v>5</v>
      </c>
      <c r="O359" t="s">
        <v>54</v>
      </c>
      <c r="P359" t="s">
        <v>75</v>
      </c>
      <c r="Q359" t="s">
        <v>30</v>
      </c>
      <c r="R359" t="s">
        <v>31</v>
      </c>
      <c r="S359">
        <v>3</v>
      </c>
    </row>
    <row r="360" spans="1:19">
      <c r="A360">
        <v>359</v>
      </c>
      <c r="B360" s="14">
        <v>45831</v>
      </c>
      <c r="C360" t="s">
        <v>85</v>
      </c>
      <c r="D360" t="s">
        <v>51</v>
      </c>
      <c r="E360" t="s">
        <v>121</v>
      </c>
      <c r="F360" t="s">
        <v>91</v>
      </c>
      <c r="G360" t="s">
        <v>68</v>
      </c>
      <c r="H360" t="s">
        <v>37</v>
      </c>
      <c r="I360" t="s">
        <v>38</v>
      </c>
      <c r="J360" t="s">
        <v>39</v>
      </c>
      <c r="K360">
        <v>39</v>
      </c>
      <c r="L360">
        <v>16.1</v>
      </c>
      <c r="M360">
        <v>10</v>
      </c>
      <c r="O360" t="s">
        <v>54</v>
      </c>
      <c r="P360" t="s">
        <v>71</v>
      </c>
      <c r="Q360" t="s">
        <v>41</v>
      </c>
      <c r="R360" t="s">
        <v>42</v>
      </c>
      <c r="S360">
        <v>1</v>
      </c>
    </row>
    <row r="361" spans="1:20">
      <c r="A361">
        <v>360</v>
      </c>
      <c r="B361" s="14">
        <v>45779</v>
      </c>
      <c r="C361" t="s">
        <v>60</v>
      </c>
      <c r="D361" t="s">
        <v>83</v>
      </c>
      <c r="E361" t="s">
        <v>114</v>
      </c>
      <c r="F361" t="s">
        <v>91</v>
      </c>
      <c r="G361" t="s">
        <v>68</v>
      </c>
      <c r="H361" t="s">
        <v>46</v>
      </c>
      <c r="I361" t="s">
        <v>26</v>
      </c>
      <c r="J361" t="s">
        <v>27</v>
      </c>
      <c r="K361">
        <v>24</v>
      </c>
      <c r="L361">
        <v>79.57</v>
      </c>
      <c r="M361">
        <v>5</v>
      </c>
      <c r="O361" t="s">
        <v>28</v>
      </c>
      <c r="P361" t="s">
        <v>29</v>
      </c>
      <c r="Q361" t="s">
        <v>30</v>
      </c>
      <c r="R361" t="s">
        <v>42</v>
      </c>
      <c r="S361">
        <v>5</v>
      </c>
      <c r="T361" t="s">
        <v>32</v>
      </c>
    </row>
    <row r="362" spans="1:18">
      <c r="A362">
        <v>361</v>
      </c>
      <c r="B362" s="14">
        <v>45755</v>
      </c>
      <c r="C362" t="s">
        <v>60</v>
      </c>
      <c r="D362" t="s">
        <v>83</v>
      </c>
      <c r="E362" t="s">
        <v>113</v>
      </c>
      <c r="F362" t="s">
        <v>36</v>
      </c>
      <c r="G362" t="s">
        <v>45</v>
      </c>
      <c r="H362" t="s">
        <v>46</v>
      </c>
      <c r="I362" t="s">
        <v>26</v>
      </c>
      <c r="J362" t="s">
        <v>27</v>
      </c>
      <c r="K362">
        <v>34</v>
      </c>
      <c r="L362">
        <v>69.29</v>
      </c>
      <c r="M362">
        <v>5</v>
      </c>
      <c r="O362" t="s">
        <v>40</v>
      </c>
      <c r="P362" t="s">
        <v>71</v>
      </c>
      <c r="Q362" t="s">
        <v>65</v>
      </c>
      <c r="R362" t="s">
        <v>42</v>
      </c>
    </row>
    <row r="363" spans="1:20">
      <c r="A363">
        <v>362</v>
      </c>
      <c r="B363" s="14">
        <v>45660</v>
      </c>
      <c r="C363" t="s">
        <v>60</v>
      </c>
      <c r="D363" t="s">
        <v>21</v>
      </c>
      <c r="E363" t="s">
        <v>69</v>
      </c>
      <c r="F363" t="s">
        <v>36</v>
      </c>
      <c r="G363" t="s">
        <v>88</v>
      </c>
      <c r="H363" t="s">
        <v>46</v>
      </c>
      <c r="I363" t="s">
        <v>38</v>
      </c>
      <c r="J363" t="s">
        <v>27</v>
      </c>
      <c r="K363">
        <v>7</v>
      </c>
      <c r="L363">
        <v>54.45</v>
      </c>
      <c r="M363">
        <v>10</v>
      </c>
      <c r="O363" t="s">
        <v>28</v>
      </c>
      <c r="P363" t="s">
        <v>75</v>
      </c>
      <c r="Q363" t="s">
        <v>76</v>
      </c>
      <c r="R363" t="s">
        <v>42</v>
      </c>
      <c r="S363">
        <v>2</v>
      </c>
      <c r="T363" t="s">
        <v>32</v>
      </c>
    </row>
    <row r="364" spans="1:20">
      <c r="A364">
        <v>363</v>
      </c>
      <c r="B364" s="14">
        <v>45804</v>
      </c>
      <c r="C364" t="s">
        <v>60</v>
      </c>
      <c r="D364" t="s">
        <v>34</v>
      </c>
      <c r="E364" t="s">
        <v>108</v>
      </c>
      <c r="F364" t="s">
        <v>70</v>
      </c>
      <c r="H364" t="s">
        <v>58</v>
      </c>
      <c r="I364" t="s">
        <v>53</v>
      </c>
      <c r="J364" t="s">
        <v>39</v>
      </c>
      <c r="K364">
        <v>11</v>
      </c>
      <c r="L364">
        <v>31</v>
      </c>
      <c r="M364">
        <v>0</v>
      </c>
      <c r="O364" t="s">
        <v>28</v>
      </c>
      <c r="P364" t="s">
        <v>64</v>
      </c>
      <c r="Q364" t="s">
        <v>41</v>
      </c>
      <c r="S364">
        <v>3</v>
      </c>
      <c r="T364" t="s">
        <v>49</v>
      </c>
    </row>
    <row r="365" spans="1:19">
      <c r="A365">
        <v>364</v>
      </c>
      <c r="B365" s="14">
        <v>45730</v>
      </c>
      <c r="C365" t="s">
        <v>55</v>
      </c>
      <c r="D365" t="s">
        <v>61</v>
      </c>
      <c r="E365" t="s">
        <v>72</v>
      </c>
      <c r="F365" t="s">
        <v>36</v>
      </c>
      <c r="G365" t="s">
        <v>24</v>
      </c>
      <c r="H365" t="s">
        <v>25</v>
      </c>
      <c r="I365" t="s">
        <v>74</v>
      </c>
      <c r="J365" t="s">
        <v>48</v>
      </c>
      <c r="K365">
        <v>40</v>
      </c>
      <c r="L365">
        <v>89.76</v>
      </c>
      <c r="O365" t="s">
        <v>59</v>
      </c>
      <c r="P365" t="s">
        <v>71</v>
      </c>
      <c r="Q365" t="s">
        <v>76</v>
      </c>
      <c r="R365" t="s">
        <v>31</v>
      </c>
      <c r="S365">
        <v>4</v>
      </c>
    </row>
    <row r="366" spans="1:19">
      <c r="A366">
        <v>365</v>
      </c>
      <c r="B366" s="14">
        <v>45712</v>
      </c>
      <c r="C366" t="s">
        <v>85</v>
      </c>
      <c r="D366" t="s">
        <v>21</v>
      </c>
      <c r="E366" t="s">
        <v>122</v>
      </c>
      <c r="F366" t="s">
        <v>70</v>
      </c>
      <c r="G366" t="s">
        <v>81</v>
      </c>
      <c r="H366" t="s">
        <v>25</v>
      </c>
      <c r="I366" t="s">
        <v>47</v>
      </c>
      <c r="J366" t="s">
        <v>63</v>
      </c>
      <c r="K366">
        <v>40</v>
      </c>
      <c r="L366">
        <v>38.78</v>
      </c>
      <c r="M366">
        <v>10</v>
      </c>
      <c r="O366" t="s">
        <v>40</v>
      </c>
      <c r="P366" t="s">
        <v>71</v>
      </c>
      <c r="Q366" t="s">
        <v>65</v>
      </c>
      <c r="S366">
        <v>2</v>
      </c>
    </row>
    <row r="367" spans="1:20">
      <c r="A367">
        <v>366</v>
      </c>
      <c r="B367" s="14">
        <v>46015</v>
      </c>
      <c r="C367" t="s">
        <v>85</v>
      </c>
      <c r="D367" t="s">
        <v>21</v>
      </c>
      <c r="E367" t="s">
        <v>93</v>
      </c>
      <c r="F367" t="s">
        <v>23</v>
      </c>
      <c r="H367" t="s">
        <v>73</v>
      </c>
      <c r="I367" t="s">
        <v>38</v>
      </c>
      <c r="J367" t="s">
        <v>39</v>
      </c>
      <c r="K367">
        <v>15</v>
      </c>
      <c r="L367">
        <v>18.65</v>
      </c>
      <c r="O367" t="s">
        <v>54</v>
      </c>
      <c r="P367" t="s">
        <v>75</v>
      </c>
      <c r="Q367" t="s">
        <v>65</v>
      </c>
      <c r="R367" t="s">
        <v>31</v>
      </c>
      <c r="T367" t="s">
        <v>49</v>
      </c>
    </row>
    <row r="368" spans="1:18">
      <c r="A368">
        <v>367</v>
      </c>
      <c r="B368" s="14">
        <v>45824</v>
      </c>
      <c r="C368" t="s">
        <v>85</v>
      </c>
      <c r="D368" t="s">
        <v>83</v>
      </c>
      <c r="E368" t="s">
        <v>35</v>
      </c>
      <c r="F368" t="s">
        <v>44</v>
      </c>
      <c r="G368" t="s">
        <v>81</v>
      </c>
      <c r="H368" t="s">
        <v>58</v>
      </c>
      <c r="I368" t="s">
        <v>53</v>
      </c>
      <c r="J368" t="s">
        <v>63</v>
      </c>
      <c r="K368">
        <v>30</v>
      </c>
      <c r="L368">
        <v>85.35</v>
      </c>
      <c r="M368">
        <v>10</v>
      </c>
      <c r="O368" t="s">
        <v>54</v>
      </c>
      <c r="P368" t="s">
        <v>64</v>
      </c>
      <c r="Q368" t="s">
        <v>30</v>
      </c>
      <c r="R368" t="s">
        <v>42</v>
      </c>
    </row>
    <row r="369" spans="1:20">
      <c r="A369">
        <v>368</v>
      </c>
      <c r="B369" s="14">
        <v>45824</v>
      </c>
      <c r="C369" t="s">
        <v>33</v>
      </c>
      <c r="D369" t="s">
        <v>51</v>
      </c>
      <c r="E369" t="s">
        <v>52</v>
      </c>
      <c r="F369" t="s">
        <v>23</v>
      </c>
      <c r="G369" t="s">
        <v>68</v>
      </c>
      <c r="H369" t="s">
        <v>73</v>
      </c>
      <c r="I369" t="s">
        <v>38</v>
      </c>
      <c r="J369" t="s">
        <v>63</v>
      </c>
      <c r="K369">
        <v>16</v>
      </c>
      <c r="L369">
        <v>63.98</v>
      </c>
      <c r="O369" t="s">
        <v>40</v>
      </c>
      <c r="P369" t="s">
        <v>29</v>
      </c>
      <c r="Q369" t="s">
        <v>65</v>
      </c>
      <c r="R369" t="s">
        <v>31</v>
      </c>
      <c r="S369">
        <v>3</v>
      </c>
      <c r="T369" t="s">
        <v>32</v>
      </c>
    </row>
    <row r="370" spans="1:19">
      <c r="A370">
        <v>369</v>
      </c>
      <c r="B370" s="14">
        <v>46013</v>
      </c>
      <c r="C370" t="s">
        <v>33</v>
      </c>
      <c r="D370" t="s">
        <v>83</v>
      </c>
      <c r="E370" t="s">
        <v>103</v>
      </c>
      <c r="F370" t="s">
        <v>36</v>
      </c>
      <c r="G370" t="s">
        <v>45</v>
      </c>
      <c r="H370" t="s">
        <v>37</v>
      </c>
      <c r="I370" t="s">
        <v>26</v>
      </c>
      <c r="J370" t="s">
        <v>39</v>
      </c>
      <c r="K370">
        <v>43</v>
      </c>
      <c r="L370">
        <v>68.61</v>
      </c>
      <c r="O370" t="s">
        <v>59</v>
      </c>
      <c r="P370" t="s">
        <v>71</v>
      </c>
      <c r="Q370" t="s">
        <v>65</v>
      </c>
      <c r="R370" t="s">
        <v>42</v>
      </c>
      <c r="S370">
        <v>5</v>
      </c>
    </row>
    <row r="371" spans="1:17">
      <c r="A371">
        <v>370</v>
      </c>
      <c r="B371" s="14">
        <v>45885</v>
      </c>
      <c r="C371" t="s">
        <v>50</v>
      </c>
      <c r="D371" t="s">
        <v>56</v>
      </c>
      <c r="E371" t="s">
        <v>87</v>
      </c>
      <c r="F371" t="s">
        <v>44</v>
      </c>
      <c r="G371" t="s">
        <v>68</v>
      </c>
      <c r="H371" t="s">
        <v>58</v>
      </c>
      <c r="I371" t="s">
        <v>47</v>
      </c>
      <c r="J371" t="s">
        <v>63</v>
      </c>
      <c r="K371">
        <v>21</v>
      </c>
      <c r="L371">
        <v>51.96</v>
      </c>
      <c r="M371">
        <v>0</v>
      </c>
      <c r="O371" t="s">
        <v>28</v>
      </c>
      <c r="P371" t="s">
        <v>64</v>
      </c>
      <c r="Q371" t="s">
        <v>76</v>
      </c>
    </row>
    <row r="372" spans="1:19">
      <c r="A372">
        <v>371</v>
      </c>
      <c r="B372" s="14">
        <v>45733</v>
      </c>
      <c r="C372" t="s">
        <v>55</v>
      </c>
      <c r="D372" t="s">
        <v>66</v>
      </c>
      <c r="E372" t="s">
        <v>80</v>
      </c>
      <c r="F372" t="s">
        <v>36</v>
      </c>
      <c r="G372" t="s">
        <v>45</v>
      </c>
      <c r="H372" t="s">
        <v>73</v>
      </c>
      <c r="I372" t="s">
        <v>47</v>
      </c>
      <c r="J372" t="s">
        <v>63</v>
      </c>
      <c r="K372">
        <v>13</v>
      </c>
      <c r="L372">
        <v>24.54</v>
      </c>
      <c r="M372">
        <v>10</v>
      </c>
      <c r="O372" t="s">
        <v>54</v>
      </c>
      <c r="P372" t="s">
        <v>75</v>
      </c>
      <c r="Q372" t="s">
        <v>65</v>
      </c>
      <c r="S372">
        <v>3</v>
      </c>
    </row>
    <row r="373" spans="1:19">
      <c r="A373">
        <v>372</v>
      </c>
      <c r="B373" s="14">
        <v>45956</v>
      </c>
      <c r="C373" t="s">
        <v>20</v>
      </c>
      <c r="D373" t="s">
        <v>34</v>
      </c>
      <c r="E373" t="s">
        <v>111</v>
      </c>
      <c r="F373" t="s">
        <v>70</v>
      </c>
      <c r="G373" t="s">
        <v>24</v>
      </c>
      <c r="H373" t="s">
        <v>46</v>
      </c>
      <c r="I373" t="s">
        <v>74</v>
      </c>
      <c r="J373" t="s">
        <v>48</v>
      </c>
      <c r="K373">
        <v>36</v>
      </c>
      <c r="L373">
        <v>96.95</v>
      </c>
      <c r="M373">
        <v>0</v>
      </c>
      <c r="O373" t="s">
        <v>54</v>
      </c>
      <c r="P373" t="s">
        <v>71</v>
      </c>
      <c r="Q373" t="s">
        <v>41</v>
      </c>
      <c r="R373" t="s">
        <v>31</v>
      </c>
      <c r="S373">
        <v>2</v>
      </c>
    </row>
    <row r="374" spans="1:20">
      <c r="A374">
        <v>373</v>
      </c>
      <c r="B374" s="14">
        <v>46017</v>
      </c>
      <c r="C374" t="s">
        <v>33</v>
      </c>
      <c r="D374" t="s">
        <v>83</v>
      </c>
      <c r="E374" t="s">
        <v>104</v>
      </c>
      <c r="F374" t="s">
        <v>23</v>
      </c>
      <c r="H374" t="s">
        <v>73</v>
      </c>
      <c r="I374" t="s">
        <v>38</v>
      </c>
      <c r="J374" t="s">
        <v>63</v>
      </c>
      <c r="K374">
        <v>28</v>
      </c>
      <c r="L374">
        <v>56.79</v>
      </c>
      <c r="M374">
        <v>5</v>
      </c>
      <c r="O374" t="s">
        <v>59</v>
      </c>
      <c r="P374" t="s">
        <v>64</v>
      </c>
      <c r="Q374" t="s">
        <v>76</v>
      </c>
      <c r="S374">
        <v>4</v>
      </c>
      <c r="T374" t="s">
        <v>49</v>
      </c>
    </row>
    <row r="375" spans="1:18">
      <c r="A375">
        <v>374</v>
      </c>
      <c r="B375" s="14">
        <v>45871</v>
      </c>
      <c r="C375" t="s">
        <v>50</v>
      </c>
      <c r="D375" t="s">
        <v>56</v>
      </c>
      <c r="E375" t="s">
        <v>112</v>
      </c>
      <c r="F375" t="s">
        <v>91</v>
      </c>
      <c r="G375" t="s">
        <v>24</v>
      </c>
      <c r="H375" t="s">
        <v>58</v>
      </c>
      <c r="I375" t="s">
        <v>74</v>
      </c>
      <c r="J375" t="s">
        <v>27</v>
      </c>
      <c r="K375">
        <v>10</v>
      </c>
      <c r="L375">
        <v>73.53</v>
      </c>
      <c r="M375">
        <v>15</v>
      </c>
      <c r="O375" t="s">
        <v>59</v>
      </c>
      <c r="P375" t="s">
        <v>64</v>
      </c>
      <c r="Q375" t="s">
        <v>30</v>
      </c>
      <c r="R375" t="s">
        <v>31</v>
      </c>
    </row>
    <row r="376" spans="1:19">
      <c r="A376">
        <v>375</v>
      </c>
      <c r="B376" s="14">
        <v>45891</v>
      </c>
      <c r="C376" t="s">
        <v>77</v>
      </c>
      <c r="D376" t="s">
        <v>51</v>
      </c>
      <c r="E376" t="s">
        <v>95</v>
      </c>
      <c r="F376" t="s">
        <v>70</v>
      </c>
      <c r="G376" t="s">
        <v>68</v>
      </c>
      <c r="H376" t="s">
        <v>25</v>
      </c>
      <c r="I376" t="s">
        <v>38</v>
      </c>
      <c r="J376" t="s">
        <v>63</v>
      </c>
      <c r="K376">
        <v>36</v>
      </c>
      <c r="L376">
        <v>82.91</v>
      </c>
      <c r="M376">
        <v>15</v>
      </c>
      <c r="O376" t="s">
        <v>54</v>
      </c>
      <c r="P376" t="s">
        <v>64</v>
      </c>
      <c r="Q376" t="s">
        <v>76</v>
      </c>
      <c r="R376" t="s">
        <v>42</v>
      </c>
      <c r="S376">
        <v>5</v>
      </c>
    </row>
    <row r="377" spans="1:19">
      <c r="A377">
        <v>376</v>
      </c>
      <c r="B377" s="14">
        <v>45953</v>
      </c>
      <c r="C377" t="s">
        <v>85</v>
      </c>
      <c r="D377" t="s">
        <v>61</v>
      </c>
      <c r="E377" t="s">
        <v>113</v>
      </c>
      <c r="F377" t="s">
        <v>91</v>
      </c>
      <c r="H377" t="s">
        <v>37</v>
      </c>
      <c r="I377" t="s">
        <v>53</v>
      </c>
      <c r="J377" t="s">
        <v>63</v>
      </c>
      <c r="K377">
        <v>35</v>
      </c>
      <c r="L377">
        <v>59.75</v>
      </c>
      <c r="M377">
        <v>0</v>
      </c>
      <c r="O377" t="s">
        <v>28</v>
      </c>
      <c r="P377" t="s">
        <v>29</v>
      </c>
      <c r="Q377" t="s">
        <v>41</v>
      </c>
      <c r="R377" t="s">
        <v>31</v>
      </c>
      <c r="S377">
        <v>5</v>
      </c>
    </row>
    <row r="378" spans="1:20">
      <c r="A378">
        <v>377</v>
      </c>
      <c r="B378" s="14">
        <v>46011</v>
      </c>
      <c r="C378" t="s">
        <v>20</v>
      </c>
      <c r="D378" t="s">
        <v>66</v>
      </c>
      <c r="E378" t="s">
        <v>113</v>
      </c>
      <c r="G378" t="s">
        <v>68</v>
      </c>
      <c r="H378" t="s">
        <v>46</v>
      </c>
      <c r="I378" t="s">
        <v>38</v>
      </c>
      <c r="J378" t="s">
        <v>27</v>
      </c>
      <c r="K378">
        <v>34</v>
      </c>
      <c r="L378">
        <v>89.54</v>
      </c>
      <c r="M378">
        <v>0</v>
      </c>
      <c r="O378" t="s">
        <v>40</v>
      </c>
      <c r="P378" t="s">
        <v>29</v>
      </c>
      <c r="Q378" t="s">
        <v>30</v>
      </c>
      <c r="T378" t="s">
        <v>49</v>
      </c>
    </row>
    <row r="379" spans="1:20">
      <c r="A379">
        <v>378</v>
      </c>
      <c r="B379" s="14">
        <v>45971</v>
      </c>
      <c r="C379" t="s">
        <v>20</v>
      </c>
      <c r="D379" t="s">
        <v>56</v>
      </c>
      <c r="E379" t="s">
        <v>121</v>
      </c>
      <c r="F379" t="s">
        <v>44</v>
      </c>
      <c r="G379" t="s">
        <v>81</v>
      </c>
      <c r="H379" t="s">
        <v>73</v>
      </c>
      <c r="I379" t="s">
        <v>47</v>
      </c>
      <c r="J379" t="s">
        <v>63</v>
      </c>
      <c r="K379">
        <v>37</v>
      </c>
      <c r="L379">
        <v>74.71</v>
      </c>
      <c r="M379">
        <v>15</v>
      </c>
      <c r="O379" t="s">
        <v>54</v>
      </c>
      <c r="P379" t="s">
        <v>75</v>
      </c>
      <c r="Q379" t="s">
        <v>41</v>
      </c>
      <c r="R379" t="s">
        <v>31</v>
      </c>
      <c r="S379">
        <v>1</v>
      </c>
      <c r="T379" t="s">
        <v>49</v>
      </c>
    </row>
    <row r="380" spans="1:19">
      <c r="A380">
        <v>379</v>
      </c>
      <c r="B380" s="14">
        <v>45946</v>
      </c>
      <c r="C380" t="s">
        <v>60</v>
      </c>
      <c r="D380" t="s">
        <v>21</v>
      </c>
      <c r="E380" t="s">
        <v>104</v>
      </c>
      <c r="F380" t="s">
        <v>70</v>
      </c>
      <c r="G380" t="s">
        <v>68</v>
      </c>
      <c r="H380" t="s">
        <v>25</v>
      </c>
      <c r="I380" t="s">
        <v>47</v>
      </c>
      <c r="J380" t="s">
        <v>27</v>
      </c>
      <c r="K380">
        <v>43</v>
      </c>
      <c r="L380">
        <v>99.08</v>
      </c>
      <c r="O380" t="s">
        <v>28</v>
      </c>
      <c r="P380" t="s">
        <v>75</v>
      </c>
      <c r="Q380" t="s">
        <v>65</v>
      </c>
      <c r="R380" t="s">
        <v>31</v>
      </c>
      <c r="S380">
        <v>2</v>
      </c>
    </row>
    <row r="381" spans="1:20">
      <c r="A381">
        <v>380</v>
      </c>
      <c r="B381" s="14">
        <v>45800</v>
      </c>
      <c r="C381" t="s">
        <v>60</v>
      </c>
      <c r="D381" t="s">
        <v>66</v>
      </c>
      <c r="E381" t="s">
        <v>123</v>
      </c>
      <c r="F381" t="s">
        <v>23</v>
      </c>
      <c r="G381" t="s">
        <v>45</v>
      </c>
      <c r="H381" t="s">
        <v>46</v>
      </c>
      <c r="I381" t="s">
        <v>74</v>
      </c>
      <c r="J381" t="s">
        <v>27</v>
      </c>
      <c r="K381">
        <v>39</v>
      </c>
      <c r="L381">
        <v>21.59</v>
      </c>
      <c r="O381" t="s">
        <v>40</v>
      </c>
      <c r="P381" t="s">
        <v>29</v>
      </c>
      <c r="Q381" t="s">
        <v>41</v>
      </c>
      <c r="R381" t="s">
        <v>31</v>
      </c>
      <c r="S381">
        <v>3</v>
      </c>
      <c r="T381" t="s">
        <v>32</v>
      </c>
    </row>
    <row r="382" spans="1:20">
      <c r="A382">
        <v>381</v>
      </c>
      <c r="B382" s="14">
        <v>45906</v>
      </c>
      <c r="C382" t="s">
        <v>50</v>
      </c>
      <c r="D382" t="s">
        <v>61</v>
      </c>
      <c r="E382" t="s">
        <v>99</v>
      </c>
      <c r="F382" t="s">
        <v>44</v>
      </c>
      <c r="G382" t="s">
        <v>45</v>
      </c>
      <c r="H382" t="s">
        <v>58</v>
      </c>
      <c r="I382" t="s">
        <v>26</v>
      </c>
      <c r="J382" t="s">
        <v>39</v>
      </c>
      <c r="K382">
        <v>32</v>
      </c>
      <c r="L382">
        <v>76.51</v>
      </c>
      <c r="M382">
        <v>15</v>
      </c>
      <c r="O382" t="s">
        <v>59</v>
      </c>
      <c r="P382" t="s">
        <v>64</v>
      </c>
      <c r="Q382" t="s">
        <v>65</v>
      </c>
      <c r="T382" t="s">
        <v>32</v>
      </c>
    </row>
    <row r="383" spans="1:18">
      <c r="A383">
        <v>382</v>
      </c>
      <c r="B383" s="14">
        <v>45765</v>
      </c>
      <c r="C383" t="s">
        <v>33</v>
      </c>
      <c r="D383" t="s">
        <v>51</v>
      </c>
      <c r="E383" t="s">
        <v>84</v>
      </c>
      <c r="F383" t="s">
        <v>44</v>
      </c>
      <c r="H383" t="s">
        <v>46</v>
      </c>
      <c r="I383" t="s">
        <v>74</v>
      </c>
      <c r="J383" t="s">
        <v>27</v>
      </c>
      <c r="K383">
        <v>11</v>
      </c>
      <c r="L383">
        <v>49.08</v>
      </c>
      <c r="M383">
        <v>15</v>
      </c>
      <c r="O383" t="s">
        <v>54</v>
      </c>
      <c r="P383" t="s">
        <v>29</v>
      </c>
      <c r="Q383" t="s">
        <v>76</v>
      </c>
      <c r="R383" t="s">
        <v>42</v>
      </c>
    </row>
    <row r="384" spans="1:20">
      <c r="A384">
        <v>383</v>
      </c>
      <c r="B384" s="14">
        <v>45900</v>
      </c>
      <c r="C384" t="s">
        <v>60</v>
      </c>
      <c r="D384" t="s">
        <v>66</v>
      </c>
      <c r="E384" t="s">
        <v>99</v>
      </c>
      <c r="F384" t="s">
        <v>70</v>
      </c>
      <c r="G384" t="s">
        <v>88</v>
      </c>
      <c r="H384" t="s">
        <v>46</v>
      </c>
      <c r="I384" t="s">
        <v>38</v>
      </c>
      <c r="J384" t="s">
        <v>63</v>
      </c>
      <c r="K384">
        <v>44</v>
      </c>
      <c r="L384">
        <v>34.99</v>
      </c>
      <c r="O384" t="s">
        <v>28</v>
      </c>
      <c r="P384" t="s">
        <v>71</v>
      </c>
      <c r="Q384" t="s">
        <v>41</v>
      </c>
      <c r="R384" t="s">
        <v>42</v>
      </c>
      <c r="S384">
        <v>5</v>
      </c>
      <c r="T384" t="s">
        <v>49</v>
      </c>
    </row>
    <row r="385" spans="1:19">
      <c r="A385">
        <v>384</v>
      </c>
      <c r="B385" s="14">
        <v>45829</v>
      </c>
      <c r="C385" t="s">
        <v>60</v>
      </c>
      <c r="D385" t="s">
        <v>56</v>
      </c>
      <c r="E385" t="s">
        <v>106</v>
      </c>
      <c r="F385" t="s">
        <v>23</v>
      </c>
      <c r="H385" t="s">
        <v>37</v>
      </c>
      <c r="I385" t="s">
        <v>38</v>
      </c>
      <c r="J385" t="s">
        <v>63</v>
      </c>
      <c r="K385">
        <v>50</v>
      </c>
      <c r="L385">
        <v>69.15</v>
      </c>
      <c r="M385">
        <v>5</v>
      </c>
      <c r="O385" t="s">
        <v>40</v>
      </c>
      <c r="P385" t="s">
        <v>75</v>
      </c>
      <c r="Q385" t="s">
        <v>76</v>
      </c>
      <c r="R385" t="s">
        <v>42</v>
      </c>
      <c r="S385">
        <v>5</v>
      </c>
    </row>
    <row r="386" spans="1:19">
      <c r="A386">
        <v>385</v>
      </c>
      <c r="B386" s="14">
        <v>46002</v>
      </c>
      <c r="C386" t="s">
        <v>20</v>
      </c>
      <c r="D386" t="s">
        <v>61</v>
      </c>
      <c r="E386" t="s">
        <v>52</v>
      </c>
      <c r="F386" t="s">
        <v>44</v>
      </c>
      <c r="G386" t="s">
        <v>81</v>
      </c>
      <c r="H386" t="s">
        <v>58</v>
      </c>
      <c r="I386" t="s">
        <v>47</v>
      </c>
      <c r="J386" t="s">
        <v>27</v>
      </c>
      <c r="K386">
        <v>44</v>
      </c>
      <c r="L386">
        <v>47.36</v>
      </c>
      <c r="M386">
        <v>5</v>
      </c>
      <c r="O386" t="s">
        <v>54</v>
      </c>
      <c r="P386" t="s">
        <v>75</v>
      </c>
      <c r="Q386" t="s">
        <v>76</v>
      </c>
      <c r="R386" t="s">
        <v>31</v>
      </c>
      <c r="S386">
        <v>1</v>
      </c>
    </row>
    <row r="387" spans="1:19">
      <c r="A387">
        <v>386</v>
      </c>
      <c r="B387" s="14">
        <v>45687</v>
      </c>
      <c r="C387" t="s">
        <v>33</v>
      </c>
      <c r="D387" t="s">
        <v>51</v>
      </c>
      <c r="E387" t="s">
        <v>110</v>
      </c>
      <c r="F387" t="s">
        <v>36</v>
      </c>
      <c r="H387" t="s">
        <v>58</v>
      </c>
      <c r="I387" t="s">
        <v>74</v>
      </c>
      <c r="J387" t="s">
        <v>27</v>
      </c>
      <c r="K387">
        <v>39</v>
      </c>
      <c r="L387">
        <v>17.34</v>
      </c>
      <c r="O387" t="s">
        <v>40</v>
      </c>
      <c r="P387" t="s">
        <v>71</v>
      </c>
      <c r="Q387" t="s">
        <v>76</v>
      </c>
      <c r="R387" t="s">
        <v>42</v>
      </c>
      <c r="S387">
        <v>3</v>
      </c>
    </row>
    <row r="388" spans="1:20">
      <c r="A388">
        <v>387</v>
      </c>
      <c r="B388" s="14">
        <v>45996</v>
      </c>
      <c r="C388" t="s">
        <v>20</v>
      </c>
      <c r="D388" t="s">
        <v>51</v>
      </c>
      <c r="E388" t="s">
        <v>93</v>
      </c>
      <c r="F388" t="s">
        <v>23</v>
      </c>
      <c r="G388" t="s">
        <v>81</v>
      </c>
      <c r="H388" t="s">
        <v>46</v>
      </c>
      <c r="I388" t="s">
        <v>53</v>
      </c>
      <c r="J388" t="s">
        <v>39</v>
      </c>
      <c r="K388">
        <v>50</v>
      </c>
      <c r="L388">
        <v>12.03</v>
      </c>
      <c r="M388">
        <v>0</v>
      </c>
      <c r="O388" t="s">
        <v>59</v>
      </c>
      <c r="P388" t="s">
        <v>29</v>
      </c>
      <c r="Q388" t="s">
        <v>41</v>
      </c>
      <c r="R388" t="s">
        <v>31</v>
      </c>
      <c r="S388">
        <v>3</v>
      </c>
      <c r="T388" t="s">
        <v>49</v>
      </c>
    </row>
    <row r="389" spans="1:19">
      <c r="A389">
        <v>388</v>
      </c>
      <c r="B389" s="14">
        <v>45749</v>
      </c>
      <c r="C389" t="s">
        <v>85</v>
      </c>
      <c r="D389" t="s">
        <v>21</v>
      </c>
      <c r="E389" t="s">
        <v>105</v>
      </c>
      <c r="F389" t="s">
        <v>91</v>
      </c>
      <c r="G389" t="s">
        <v>68</v>
      </c>
      <c r="H389" t="s">
        <v>73</v>
      </c>
      <c r="I389" t="s">
        <v>26</v>
      </c>
      <c r="J389" t="s">
        <v>63</v>
      </c>
      <c r="K389">
        <v>7</v>
      </c>
      <c r="L389">
        <v>18.67</v>
      </c>
      <c r="M389">
        <v>15</v>
      </c>
      <c r="O389" t="s">
        <v>40</v>
      </c>
      <c r="P389" t="s">
        <v>71</v>
      </c>
      <c r="Q389" t="s">
        <v>65</v>
      </c>
      <c r="S389">
        <v>3</v>
      </c>
    </row>
    <row r="390" spans="1:20">
      <c r="A390">
        <v>389</v>
      </c>
      <c r="B390" s="14">
        <v>45675</v>
      </c>
      <c r="C390" t="s">
        <v>20</v>
      </c>
      <c r="D390" t="s">
        <v>21</v>
      </c>
      <c r="E390" t="s">
        <v>100</v>
      </c>
      <c r="G390" t="s">
        <v>45</v>
      </c>
      <c r="H390" t="s">
        <v>73</v>
      </c>
      <c r="I390" t="s">
        <v>74</v>
      </c>
      <c r="J390" t="s">
        <v>63</v>
      </c>
      <c r="K390">
        <v>10</v>
      </c>
      <c r="L390">
        <v>67.02</v>
      </c>
      <c r="M390">
        <v>0</v>
      </c>
      <c r="O390" t="s">
        <v>28</v>
      </c>
      <c r="P390" t="s">
        <v>29</v>
      </c>
      <c r="Q390" t="s">
        <v>41</v>
      </c>
      <c r="R390" t="s">
        <v>31</v>
      </c>
      <c r="T390" t="s">
        <v>49</v>
      </c>
    </row>
    <row r="391" spans="1:19">
      <c r="A391">
        <v>390</v>
      </c>
      <c r="B391" s="14">
        <v>45858</v>
      </c>
      <c r="C391" t="s">
        <v>33</v>
      </c>
      <c r="D391" t="s">
        <v>21</v>
      </c>
      <c r="E391" t="s">
        <v>111</v>
      </c>
      <c r="G391" t="s">
        <v>81</v>
      </c>
      <c r="H391" t="s">
        <v>73</v>
      </c>
      <c r="I391" t="s">
        <v>38</v>
      </c>
      <c r="J391" t="s">
        <v>63</v>
      </c>
      <c r="K391">
        <v>47</v>
      </c>
      <c r="L391">
        <v>79.19</v>
      </c>
      <c r="M391">
        <v>0</v>
      </c>
      <c r="O391" t="s">
        <v>40</v>
      </c>
      <c r="P391" t="s">
        <v>71</v>
      </c>
      <c r="Q391" t="s">
        <v>65</v>
      </c>
      <c r="S391">
        <v>4</v>
      </c>
    </row>
    <row r="392" spans="1:20">
      <c r="A392">
        <v>391</v>
      </c>
      <c r="B392" s="14">
        <v>45948</v>
      </c>
      <c r="C392" t="s">
        <v>33</v>
      </c>
      <c r="D392" t="s">
        <v>56</v>
      </c>
      <c r="E392" t="s">
        <v>82</v>
      </c>
      <c r="G392" t="s">
        <v>45</v>
      </c>
      <c r="H392" t="s">
        <v>73</v>
      </c>
      <c r="I392" t="s">
        <v>74</v>
      </c>
      <c r="J392" t="s">
        <v>27</v>
      </c>
      <c r="K392">
        <v>24</v>
      </c>
      <c r="L392">
        <v>55.79</v>
      </c>
      <c r="M392">
        <v>10</v>
      </c>
      <c r="O392" t="s">
        <v>28</v>
      </c>
      <c r="P392" t="s">
        <v>29</v>
      </c>
      <c r="Q392" t="s">
        <v>41</v>
      </c>
      <c r="S392">
        <v>2</v>
      </c>
      <c r="T392" t="s">
        <v>32</v>
      </c>
    </row>
    <row r="393" spans="1:20">
      <c r="A393">
        <v>392</v>
      </c>
      <c r="B393" s="14">
        <v>45941</v>
      </c>
      <c r="C393" t="s">
        <v>20</v>
      </c>
      <c r="D393" t="s">
        <v>83</v>
      </c>
      <c r="E393" t="s">
        <v>112</v>
      </c>
      <c r="F393" t="s">
        <v>91</v>
      </c>
      <c r="G393" t="s">
        <v>45</v>
      </c>
      <c r="H393" t="s">
        <v>73</v>
      </c>
      <c r="I393" t="s">
        <v>74</v>
      </c>
      <c r="J393" t="s">
        <v>48</v>
      </c>
      <c r="K393">
        <v>32</v>
      </c>
      <c r="L393">
        <v>13.06</v>
      </c>
      <c r="M393">
        <v>15</v>
      </c>
      <c r="O393" t="s">
        <v>40</v>
      </c>
      <c r="P393" t="s">
        <v>64</v>
      </c>
      <c r="Q393" t="s">
        <v>30</v>
      </c>
      <c r="R393" t="s">
        <v>31</v>
      </c>
      <c r="S393">
        <v>1</v>
      </c>
      <c r="T393" t="s">
        <v>32</v>
      </c>
    </row>
    <row r="394" spans="1:19">
      <c r="A394">
        <v>393</v>
      </c>
      <c r="B394" s="14">
        <v>45908</v>
      </c>
      <c r="C394" t="s">
        <v>85</v>
      </c>
      <c r="D394" t="s">
        <v>21</v>
      </c>
      <c r="E394" t="s">
        <v>121</v>
      </c>
      <c r="G394" t="s">
        <v>45</v>
      </c>
      <c r="H394" t="s">
        <v>73</v>
      </c>
      <c r="I394" t="s">
        <v>47</v>
      </c>
      <c r="J394" t="s">
        <v>63</v>
      </c>
      <c r="K394">
        <v>2</v>
      </c>
      <c r="L394">
        <v>8.52</v>
      </c>
      <c r="M394">
        <v>0</v>
      </c>
      <c r="O394" t="s">
        <v>54</v>
      </c>
      <c r="P394" t="s">
        <v>71</v>
      </c>
      <c r="Q394" t="s">
        <v>65</v>
      </c>
      <c r="R394" t="s">
        <v>31</v>
      </c>
      <c r="S394">
        <v>2</v>
      </c>
    </row>
    <row r="395" spans="1:20">
      <c r="A395">
        <v>394</v>
      </c>
      <c r="B395" s="14">
        <v>46005</v>
      </c>
      <c r="C395" t="s">
        <v>77</v>
      </c>
      <c r="D395" t="s">
        <v>61</v>
      </c>
      <c r="E395" t="s">
        <v>121</v>
      </c>
      <c r="F395" t="s">
        <v>91</v>
      </c>
      <c r="H395" t="s">
        <v>37</v>
      </c>
      <c r="I395" t="s">
        <v>26</v>
      </c>
      <c r="J395" t="s">
        <v>27</v>
      </c>
      <c r="K395">
        <v>3</v>
      </c>
      <c r="L395">
        <v>74.87</v>
      </c>
      <c r="M395">
        <v>15</v>
      </c>
      <c r="O395" t="s">
        <v>28</v>
      </c>
      <c r="P395" t="s">
        <v>29</v>
      </c>
      <c r="Q395" t="s">
        <v>30</v>
      </c>
      <c r="R395" t="s">
        <v>31</v>
      </c>
      <c r="T395" t="s">
        <v>32</v>
      </c>
    </row>
    <row r="396" spans="1:19">
      <c r="A396">
        <v>395</v>
      </c>
      <c r="B396" s="14">
        <v>45665</v>
      </c>
      <c r="C396" t="s">
        <v>50</v>
      </c>
      <c r="D396" t="s">
        <v>51</v>
      </c>
      <c r="E396" t="s">
        <v>117</v>
      </c>
      <c r="F396" t="s">
        <v>23</v>
      </c>
      <c r="G396" t="s">
        <v>88</v>
      </c>
      <c r="H396" t="s">
        <v>73</v>
      </c>
      <c r="I396" t="s">
        <v>47</v>
      </c>
      <c r="J396" t="s">
        <v>39</v>
      </c>
      <c r="K396">
        <v>38</v>
      </c>
      <c r="L396">
        <v>11.08</v>
      </c>
      <c r="M396">
        <v>0</v>
      </c>
      <c r="O396" t="s">
        <v>28</v>
      </c>
      <c r="P396" t="s">
        <v>29</v>
      </c>
      <c r="Q396" t="s">
        <v>76</v>
      </c>
      <c r="R396" t="s">
        <v>31</v>
      </c>
      <c r="S396">
        <v>2</v>
      </c>
    </row>
    <row r="397" spans="1:20">
      <c r="A397">
        <v>396</v>
      </c>
      <c r="B397" s="14">
        <v>45830</v>
      </c>
      <c r="C397" t="s">
        <v>77</v>
      </c>
      <c r="D397" t="s">
        <v>61</v>
      </c>
      <c r="E397" t="s">
        <v>22</v>
      </c>
      <c r="G397" t="s">
        <v>81</v>
      </c>
      <c r="H397" t="s">
        <v>46</v>
      </c>
      <c r="I397" t="s">
        <v>74</v>
      </c>
      <c r="J397" t="s">
        <v>39</v>
      </c>
      <c r="K397">
        <v>21</v>
      </c>
      <c r="L397">
        <v>84.46</v>
      </c>
      <c r="M397">
        <v>5</v>
      </c>
      <c r="O397" t="s">
        <v>28</v>
      </c>
      <c r="P397" t="s">
        <v>64</v>
      </c>
      <c r="Q397" t="s">
        <v>41</v>
      </c>
      <c r="R397" t="s">
        <v>31</v>
      </c>
      <c r="S397">
        <v>1</v>
      </c>
      <c r="T397" t="s">
        <v>49</v>
      </c>
    </row>
    <row r="398" spans="1:19">
      <c r="A398">
        <v>397</v>
      </c>
      <c r="B398" s="14">
        <v>45730</v>
      </c>
      <c r="C398" t="s">
        <v>77</v>
      </c>
      <c r="D398" t="s">
        <v>83</v>
      </c>
      <c r="E398" t="s">
        <v>120</v>
      </c>
      <c r="G398" t="s">
        <v>45</v>
      </c>
      <c r="H398" t="s">
        <v>37</v>
      </c>
      <c r="I398" t="s">
        <v>26</v>
      </c>
      <c r="J398" t="s">
        <v>63</v>
      </c>
      <c r="K398">
        <v>16</v>
      </c>
      <c r="L398">
        <v>92.94</v>
      </c>
      <c r="M398">
        <v>0</v>
      </c>
      <c r="O398" t="s">
        <v>40</v>
      </c>
      <c r="P398" t="s">
        <v>71</v>
      </c>
      <c r="Q398" t="s">
        <v>65</v>
      </c>
      <c r="R398" t="s">
        <v>31</v>
      </c>
      <c r="S398">
        <v>1</v>
      </c>
    </row>
    <row r="399" spans="1:19">
      <c r="A399">
        <v>398</v>
      </c>
      <c r="B399" s="14">
        <v>45699</v>
      </c>
      <c r="C399" t="s">
        <v>20</v>
      </c>
      <c r="D399" t="s">
        <v>21</v>
      </c>
      <c r="E399" t="s">
        <v>92</v>
      </c>
      <c r="F399" t="s">
        <v>44</v>
      </c>
      <c r="H399" t="s">
        <v>37</v>
      </c>
      <c r="I399" t="s">
        <v>53</v>
      </c>
      <c r="J399" t="s">
        <v>63</v>
      </c>
      <c r="K399">
        <v>45</v>
      </c>
      <c r="L399">
        <v>81.7</v>
      </c>
      <c r="M399">
        <v>15</v>
      </c>
      <c r="O399" t="s">
        <v>40</v>
      </c>
      <c r="P399" t="s">
        <v>64</v>
      </c>
      <c r="Q399" t="s">
        <v>76</v>
      </c>
      <c r="S399">
        <v>3</v>
      </c>
    </row>
    <row r="400" spans="1:20">
      <c r="A400">
        <v>399</v>
      </c>
      <c r="B400" s="14">
        <v>45868</v>
      </c>
      <c r="C400" t="s">
        <v>50</v>
      </c>
      <c r="D400" t="s">
        <v>66</v>
      </c>
      <c r="E400" t="s">
        <v>123</v>
      </c>
      <c r="G400" t="s">
        <v>88</v>
      </c>
      <c r="H400" t="s">
        <v>37</v>
      </c>
      <c r="I400" t="s">
        <v>26</v>
      </c>
      <c r="J400" t="s">
        <v>63</v>
      </c>
      <c r="K400">
        <v>40</v>
      </c>
      <c r="L400">
        <v>95.28</v>
      </c>
      <c r="M400">
        <v>10</v>
      </c>
      <c r="O400" t="s">
        <v>54</v>
      </c>
      <c r="P400" t="s">
        <v>29</v>
      </c>
      <c r="Q400" t="s">
        <v>30</v>
      </c>
      <c r="S400">
        <v>2</v>
      </c>
      <c r="T400" t="s">
        <v>32</v>
      </c>
    </row>
    <row r="401" spans="1:19">
      <c r="A401">
        <v>400</v>
      </c>
      <c r="B401" s="14">
        <v>45718</v>
      </c>
      <c r="C401" t="s">
        <v>33</v>
      </c>
      <c r="D401" t="s">
        <v>21</v>
      </c>
      <c r="E401" t="s">
        <v>123</v>
      </c>
      <c r="F401" t="s">
        <v>23</v>
      </c>
      <c r="G401" t="s">
        <v>68</v>
      </c>
      <c r="H401" t="s">
        <v>37</v>
      </c>
      <c r="I401" t="s">
        <v>26</v>
      </c>
      <c r="J401" t="s">
        <v>63</v>
      </c>
      <c r="K401">
        <v>50</v>
      </c>
      <c r="L401">
        <v>64.51</v>
      </c>
      <c r="M401">
        <v>5</v>
      </c>
      <c r="O401" t="s">
        <v>54</v>
      </c>
      <c r="P401" t="s">
        <v>71</v>
      </c>
      <c r="Q401" t="s">
        <v>76</v>
      </c>
      <c r="R401" t="s">
        <v>31</v>
      </c>
      <c r="S401">
        <v>2</v>
      </c>
    </row>
    <row r="402" spans="1:20">
      <c r="A402">
        <v>401</v>
      </c>
      <c r="B402" s="14">
        <v>45912</v>
      </c>
      <c r="C402" t="s">
        <v>50</v>
      </c>
      <c r="D402" t="s">
        <v>66</v>
      </c>
      <c r="E402" t="s">
        <v>112</v>
      </c>
      <c r="F402" t="s">
        <v>44</v>
      </c>
      <c r="G402" t="s">
        <v>88</v>
      </c>
      <c r="H402" t="s">
        <v>46</v>
      </c>
      <c r="I402" t="s">
        <v>53</v>
      </c>
      <c r="J402" t="s">
        <v>39</v>
      </c>
      <c r="K402">
        <v>28</v>
      </c>
      <c r="L402">
        <v>28.88</v>
      </c>
      <c r="O402" t="s">
        <v>59</v>
      </c>
      <c r="P402" t="s">
        <v>71</v>
      </c>
      <c r="Q402" t="s">
        <v>30</v>
      </c>
      <c r="S402">
        <v>1</v>
      </c>
      <c r="T402" t="s">
        <v>32</v>
      </c>
    </row>
    <row r="403" spans="1:20">
      <c r="A403">
        <v>402</v>
      </c>
      <c r="B403" s="14">
        <v>45738</v>
      </c>
      <c r="C403" t="s">
        <v>77</v>
      </c>
      <c r="D403" t="s">
        <v>21</v>
      </c>
      <c r="E403" t="s">
        <v>105</v>
      </c>
      <c r="F403" t="s">
        <v>36</v>
      </c>
      <c r="G403" t="s">
        <v>88</v>
      </c>
      <c r="H403" t="s">
        <v>58</v>
      </c>
      <c r="I403" t="s">
        <v>26</v>
      </c>
      <c r="J403" t="s">
        <v>63</v>
      </c>
      <c r="K403">
        <v>38</v>
      </c>
      <c r="L403">
        <v>60.08</v>
      </c>
      <c r="M403">
        <v>15</v>
      </c>
      <c r="O403" t="s">
        <v>40</v>
      </c>
      <c r="P403" t="s">
        <v>75</v>
      </c>
      <c r="Q403" t="s">
        <v>76</v>
      </c>
      <c r="R403" t="s">
        <v>31</v>
      </c>
      <c r="S403">
        <v>3</v>
      </c>
      <c r="T403" t="s">
        <v>32</v>
      </c>
    </row>
    <row r="404" spans="1:20">
      <c r="A404">
        <v>403</v>
      </c>
      <c r="B404" s="14">
        <v>45708</v>
      </c>
      <c r="C404" t="s">
        <v>50</v>
      </c>
      <c r="D404" t="s">
        <v>51</v>
      </c>
      <c r="E404" t="s">
        <v>97</v>
      </c>
      <c r="F404" t="s">
        <v>91</v>
      </c>
      <c r="G404" t="s">
        <v>81</v>
      </c>
      <c r="H404" t="s">
        <v>25</v>
      </c>
      <c r="I404" t="s">
        <v>74</v>
      </c>
      <c r="J404" t="s">
        <v>63</v>
      </c>
      <c r="K404">
        <v>38</v>
      </c>
      <c r="L404">
        <v>51.02</v>
      </c>
      <c r="M404">
        <v>15</v>
      </c>
      <c r="O404" t="s">
        <v>40</v>
      </c>
      <c r="P404" t="s">
        <v>64</v>
      </c>
      <c r="Q404" t="s">
        <v>65</v>
      </c>
      <c r="R404" t="s">
        <v>31</v>
      </c>
      <c r="S404">
        <v>4</v>
      </c>
      <c r="T404" t="s">
        <v>49</v>
      </c>
    </row>
    <row r="405" spans="1:19">
      <c r="A405">
        <v>404</v>
      </c>
      <c r="B405" s="14">
        <v>45727</v>
      </c>
      <c r="C405" t="s">
        <v>85</v>
      </c>
      <c r="D405" t="s">
        <v>51</v>
      </c>
      <c r="E405" t="s">
        <v>101</v>
      </c>
      <c r="G405" t="s">
        <v>45</v>
      </c>
      <c r="H405" t="s">
        <v>46</v>
      </c>
      <c r="I405" t="s">
        <v>26</v>
      </c>
      <c r="J405" t="s">
        <v>48</v>
      </c>
      <c r="K405">
        <v>9</v>
      </c>
      <c r="L405">
        <v>8.05</v>
      </c>
      <c r="O405" t="s">
        <v>28</v>
      </c>
      <c r="P405" t="s">
        <v>75</v>
      </c>
      <c r="Q405" t="s">
        <v>76</v>
      </c>
      <c r="R405" t="s">
        <v>31</v>
      </c>
      <c r="S405">
        <v>4</v>
      </c>
    </row>
    <row r="406" spans="1:19">
      <c r="A406">
        <v>405</v>
      </c>
      <c r="B406" s="14">
        <v>45872</v>
      </c>
      <c r="C406" t="s">
        <v>50</v>
      </c>
      <c r="D406" t="s">
        <v>61</v>
      </c>
      <c r="E406" t="s">
        <v>82</v>
      </c>
      <c r="F406" t="s">
        <v>91</v>
      </c>
      <c r="G406" t="s">
        <v>45</v>
      </c>
      <c r="H406" t="s">
        <v>37</v>
      </c>
      <c r="I406" t="s">
        <v>26</v>
      </c>
      <c r="J406" t="s">
        <v>39</v>
      </c>
      <c r="K406">
        <v>37</v>
      </c>
      <c r="L406">
        <v>97.16</v>
      </c>
      <c r="M406">
        <v>5</v>
      </c>
      <c r="O406" t="s">
        <v>28</v>
      </c>
      <c r="P406" t="s">
        <v>29</v>
      </c>
      <c r="Q406" t="s">
        <v>65</v>
      </c>
      <c r="R406" t="s">
        <v>31</v>
      </c>
      <c r="S406">
        <v>5</v>
      </c>
    </row>
    <row r="407" spans="1:19">
      <c r="A407">
        <v>406</v>
      </c>
      <c r="B407" s="14">
        <v>45894</v>
      </c>
      <c r="C407" t="s">
        <v>60</v>
      </c>
      <c r="D407" t="s">
        <v>21</v>
      </c>
      <c r="E407" t="s">
        <v>113</v>
      </c>
      <c r="F407" t="s">
        <v>70</v>
      </c>
      <c r="H407" t="s">
        <v>25</v>
      </c>
      <c r="I407" t="s">
        <v>26</v>
      </c>
      <c r="J407" t="s">
        <v>48</v>
      </c>
      <c r="K407">
        <v>28</v>
      </c>
      <c r="L407">
        <v>60.05</v>
      </c>
      <c r="O407" t="s">
        <v>40</v>
      </c>
      <c r="P407" t="s">
        <v>71</v>
      </c>
      <c r="Q407" t="s">
        <v>65</v>
      </c>
      <c r="R407" t="s">
        <v>31</v>
      </c>
      <c r="S407">
        <v>1</v>
      </c>
    </row>
    <row r="408" spans="1:20">
      <c r="A408">
        <v>407</v>
      </c>
      <c r="B408" s="14">
        <v>45916</v>
      </c>
      <c r="C408" t="s">
        <v>20</v>
      </c>
      <c r="D408" t="s">
        <v>83</v>
      </c>
      <c r="E408" t="s">
        <v>99</v>
      </c>
      <c r="F408" t="s">
        <v>70</v>
      </c>
      <c r="G408" t="s">
        <v>81</v>
      </c>
      <c r="H408" t="s">
        <v>58</v>
      </c>
      <c r="I408" t="s">
        <v>38</v>
      </c>
      <c r="J408" t="s">
        <v>63</v>
      </c>
      <c r="K408">
        <v>16</v>
      </c>
      <c r="L408">
        <v>12.89</v>
      </c>
      <c r="M408">
        <v>0</v>
      </c>
      <c r="O408" t="s">
        <v>59</v>
      </c>
      <c r="P408" t="s">
        <v>64</v>
      </c>
      <c r="Q408" t="s">
        <v>76</v>
      </c>
      <c r="R408" t="s">
        <v>42</v>
      </c>
      <c r="S408">
        <v>3</v>
      </c>
      <c r="T408" t="s">
        <v>32</v>
      </c>
    </row>
    <row r="409" spans="1:19">
      <c r="A409">
        <v>408</v>
      </c>
      <c r="B409" s="14">
        <v>45989</v>
      </c>
      <c r="C409" t="s">
        <v>20</v>
      </c>
      <c r="D409" t="s">
        <v>21</v>
      </c>
      <c r="E409" t="s">
        <v>115</v>
      </c>
      <c r="G409" t="s">
        <v>45</v>
      </c>
      <c r="H409" t="s">
        <v>25</v>
      </c>
      <c r="I409" t="s">
        <v>38</v>
      </c>
      <c r="J409" t="s">
        <v>27</v>
      </c>
      <c r="K409">
        <v>30</v>
      </c>
      <c r="L409">
        <v>49.06</v>
      </c>
      <c r="M409">
        <v>5</v>
      </c>
      <c r="O409" t="s">
        <v>59</v>
      </c>
      <c r="P409" t="s">
        <v>64</v>
      </c>
      <c r="Q409" t="s">
        <v>41</v>
      </c>
      <c r="S409">
        <v>4</v>
      </c>
    </row>
    <row r="410" spans="1:20">
      <c r="A410">
        <v>409</v>
      </c>
      <c r="B410" s="14">
        <v>45979</v>
      </c>
      <c r="C410" t="s">
        <v>20</v>
      </c>
      <c r="D410" t="s">
        <v>83</v>
      </c>
      <c r="E410" t="s">
        <v>57</v>
      </c>
      <c r="F410" t="s">
        <v>23</v>
      </c>
      <c r="G410" t="s">
        <v>68</v>
      </c>
      <c r="H410" t="s">
        <v>58</v>
      </c>
      <c r="I410" t="s">
        <v>53</v>
      </c>
      <c r="J410" t="s">
        <v>63</v>
      </c>
      <c r="K410">
        <v>49</v>
      </c>
      <c r="L410">
        <v>30.63</v>
      </c>
      <c r="O410" t="s">
        <v>40</v>
      </c>
      <c r="P410" t="s">
        <v>71</v>
      </c>
      <c r="Q410" t="s">
        <v>41</v>
      </c>
      <c r="S410">
        <v>1</v>
      </c>
      <c r="T410" t="s">
        <v>49</v>
      </c>
    </row>
    <row r="411" spans="1:19">
      <c r="A411">
        <v>410</v>
      </c>
      <c r="B411" s="14">
        <v>45684</v>
      </c>
      <c r="C411" t="s">
        <v>20</v>
      </c>
      <c r="D411" t="s">
        <v>83</v>
      </c>
      <c r="E411" t="s">
        <v>116</v>
      </c>
      <c r="F411" t="s">
        <v>70</v>
      </c>
      <c r="G411" t="s">
        <v>68</v>
      </c>
      <c r="H411" t="s">
        <v>58</v>
      </c>
      <c r="I411" t="s">
        <v>53</v>
      </c>
      <c r="J411" t="s">
        <v>48</v>
      </c>
      <c r="K411">
        <v>12</v>
      </c>
      <c r="L411">
        <v>66.58</v>
      </c>
      <c r="M411">
        <v>0</v>
      </c>
      <c r="O411" t="s">
        <v>40</v>
      </c>
      <c r="P411" t="s">
        <v>64</v>
      </c>
      <c r="Q411" t="s">
        <v>41</v>
      </c>
      <c r="R411" t="s">
        <v>31</v>
      </c>
      <c r="S411">
        <v>5</v>
      </c>
    </row>
    <row r="412" spans="1:20">
      <c r="A412">
        <v>411</v>
      </c>
      <c r="B412" s="14">
        <v>45990</v>
      </c>
      <c r="C412" t="s">
        <v>85</v>
      </c>
      <c r="D412" t="s">
        <v>51</v>
      </c>
      <c r="E412" t="s">
        <v>79</v>
      </c>
      <c r="F412" t="s">
        <v>36</v>
      </c>
      <c r="H412" t="s">
        <v>25</v>
      </c>
      <c r="I412" t="s">
        <v>26</v>
      </c>
      <c r="J412" t="s">
        <v>48</v>
      </c>
      <c r="K412">
        <v>23</v>
      </c>
      <c r="L412">
        <v>90.3</v>
      </c>
      <c r="O412" t="s">
        <v>59</v>
      </c>
      <c r="P412" t="s">
        <v>75</v>
      </c>
      <c r="Q412" t="s">
        <v>30</v>
      </c>
      <c r="R412" t="s">
        <v>31</v>
      </c>
      <c r="S412">
        <v>3</v>
      </c>
      <c r="T412" t="s">
        <v>49</v>
      </c>
    </row>
    <row r="413" spans="1:20">
      <c r="A413">
        <v>412</v>
      </c>
      <c r="B413" s="14">
        <v>45889</v>
      </c>
      <c r="C413" t="s">
        <v>85</v>
      </c>
      <c r="D413" t="s">
        <v>34</v>
      </c>
      <c r="E413" t="s">
        <v>99</v>
      </c>
      <c r="F413" t="s">
        <v>44</v>
      </c>
      <c r="G413" t="s">
        <v>81</v>
      </c>
      <c r="H413" t="s">
        <v>37</v>
      </c>
      <c r="I413" t="s">
        <v>47</v>
      </c>
      <c r="J413" t="s">
        <v>48</v>
      </c>
      <c r="K413">
        <v>29</v>
      </c>
      <c r="L413">
        <v>63.99</v>
      </c>
      <c r="M413">
        <v>0</v>
      </c>
      <c r="O413" t="s">
        <v>40</v>
      </c>
      <c r="P413" t="s">
        <v>29</v>
      </c>
      <c r="Q413" t="s">
        <v>30</v>
      </c>
      <c r="R413" t="s">
        <v>31</v>
      </c>
      <c r="S413">
        <v>4</v>
      </c>
      <c r="T413" t="s">
        <v>32</v>
      </c>
    </row>
    <row r="414" spans="1:19">
      <c r="A414">
        <v>413</v>
      </c>
      <c r="B414" s="14">
        <v>45805</v>
      </c>
      <c r="C414" t="s">
        <v>20</v>
      </c>
      <c r="D414" t="s">
        <v>21</v>
      </c>
      <c r="E414" t="s">
        <v>120</v>
      </c>
      <c r="F414" t="s">
        <v>23</v>
      </c>
      <c r="G414" t="s">
        <v>88</v>
      </c>
      <c r="H414" t="s">
        <v>25</v>
      </c>
      <c r="I414" t="s">
        <v>38</v>
      </c>
      <c r="J414" t="s">
        <v>39</v>
      </c>
      <c r="K414">
        <v>14</v>
      </c>
      <c r="L414">
        <v>54.47</v>
      </c>
      <c r="M414">
        <v>0</v>
      </c>
      <c r="O414" t="s">
        <v>54</v>
      </c>
      <c r="P414" t="s">
        <v>29</v>
      </c>
      <c r="Q414" t="s">
        <v>76</v>
      </c>
      <c r="R414" t="s">
        <v>42</v>
      </c>
      <c r="S414">
        <v>3</v>
      </c>
    </row>
    <row r="415" spans="1:17">
      <c r="A415">
        <v>414</v>
      </c>
      <c r="B415" s="14">
        <v>45885</v>
      </c>
      <c r="C415" t="s">
        <v>55</v>
      </c>
      <c r="D415" t="s">
        <v>51</v>
      </c>
      <c r="E415" t="s">
        <v>35</v>
      </c>
      <c r="F415" t="s">
        <v>23</v>
      </c>
      <c r="G415" t="s">
        <v>24</v>
      </c>
      <c r="H415" t="s">
        <v>58</v>
      </c>
      <c r="I415" t="s">
        <v>74</v>
      </c>
      <c r="J415" t="s">
        <v>39</v>
      </c>
      <c r="K415">
        <v>34</v>
      </c>
      <c r="L415">
        <v>66.24</v>
      </c>
      <c r="M415">
        <v>15</v>
      </c>
      <c r="O415" t="s">
        <v>54</v>
      </c>
      <c r="P415" t="s">
        <v>75</v>
      </c>
      <c r="Q415" t="s">
        <v>65</v>
      </c>
    </row>
    <row r="416" spans="1:20">
      <c r="A416">
        <v>415</v>
      </c>
      <c r="B416" s="14">
        <v>45892</v>
      </c>
      <c r="C416" t="s">
        <v>60</v>
      </c>
      <c r="D416" t="s">
        <v>34</v>
      </c>
      <c r="E416" t="s">
        <v>89</v>
      </c>
      <c r="F416" t="s">
        <v>23</v>
      </c>
      <c r="G416" t="s">
        <v>24</v>
      </c>
      <c r="H416" t="s">
        <v>46</v>
      </c>
      <c r="I416" t="s">
        <v>26</v>
      </c>
      <c r="J416" t="s">
        <v>63</v>
      </c>
      <c r="K416">
        <v>24</v>
      </c>
      <c r="L416">
        <v>97.22</v>
      </c>
      <c r="M416">
        <v>0</v>
      </c>
      <c r="O416" t="s">
        <v>40</v>
      </c>
      <c r="P416" t="s">
        <v>75</v>
      </c>
      <c r="Q416" t="s">
        <v>41</v>
      </c>
      <c r="R416" t="s">
        <v>42</v>
      </c>
      <c r="S416">
        <v>2</v>
      </c>
      <c r="T416" t="s">
        <v>32</v>
      </c>
    </row>
    <row r="417" spans="1:20">
      <c r="A417">
        <v>416</v>
      </c>
      <c r="B417" s="14">
        <v>46022</v>
      </c>
      <c r="C417" t="s">
        <v>33</v>
      </c>
      <c r="D417" t="s">
        <v>56</v>
      </c>
      <c r="E417" t="s">
        <v>92</v>
      </c>
      <c r="F417" t="s">
        <v>91</v>
      </c>
      <c r="H417" t="s">
        <v>25</v>
      </c>
      <c r="I417" t="s">
        <v>26</v>
      </c>
      <c r="J417" t="s">
        <v>39</v>
      </c>
      <c r="K417">
        <v>8</v>
      </c>
      <c r="L417">
        <v>8.91</v>
      </c>
      <c r="M417">
        <v>10</v>
      </c>
      <c r="O417" t="s">
        <v>40</v>
      </c>
      <c r="P417" t="s">
        <v>29</v>
      </c>
      <c r="Q417" t="s">
        <v>41</v>
      </c>
      <c r="R417" t="s">
        <v>42</v>
      </c>
      <c r="S417">
        <v>2</v>
      </c>
      <c r="T417" t="s">
        <v>32</v>
      </c>
    </row>
    <row r="418" spans="1:20">
      <c r="A418">
        <v>417</v>
      </c>
      <c r="B418" s="14">
        <v>45945</v>
      </c>
      <c r="C418" t="s">
        <v>55</v>
      </c>
      <c r="D418" t="s">
        <v>21</v>
      </c>
      <c r="E418" t="s">
        <v>112</v>
      </c>
      <c r="F418" t="s">
        <v>23</v>
      </c>
      <c r="G418" t="s">
        <v>45</v>
      </c>
      <c r="H418" t="s">
        <v>25</v>
      </c>
      <c r="I418" t="s">
        <v>53</v>
      </c>
      <c r="J418" t="s">
        <v>63</v>
      </c>
      <c r="K418">
        <v>35</v>
      </c>
      <c r="L418">
        <v>97.67</v>
      </c>
      <c r="O418" t="s">
        <v>54</v>
      </c>
      <c r="P418" t="s">
        <v>71</v>
      </c>
      <c r="Q418" t="s">
        <v>30</v>
      </c>
      <c r="R418" t="s">
        <v>42</v>
      </c>
      <c r="S418">
        <v>4</v>
      </c>
      <c r="T418" t="s">
        <v>32</v>
      </c>
    </row>
    <row r="419" spans="1:19">
      <c r="A419">
        <v>418</v>
      </c>
      <c r="B419" s="14">
        <v>45892</v>
      </c>
      <c r="C419" t="s">
        <v>60</v>
      </c>
      <c r="D419" t="s">
        <v>66</v>
      </c>
      <c r="E419" t="s">
        <v>78</v>
      </c>
      <c r="G419" t="s">
        <v>68</v>
      </c>
      <c r="H419" t="s">
        <v>37</v>
      </c>
      <c r="I419" t="s">
        <v>53</v>
      </c>
      <c r="J419" t="s">
        <v>48</v>
      </c>
      <c r="K419">
        <v>31</v>
      </c>
      <c r="L419">
        <v>90.12</v>
      </c>
      <c r="O419" t="s">
        <v>40</v>
      </c>
      <c r="P419" t="s">
        <v>29</v>
      </c>
      <c r="Q419" t="s">
        <v>41</v>
      </c>
      <c r="S419">
        <v>1</v>
      </c>
    </row>
    <row r="420" spans="1:19">
      <c r="A420">
        <v>419</v>
      </c>
      <c r="B420" s="14">
        <v>45678</v>
      </c>
      <c r="C420" t="s">
        <v>50</v>
      </c>
      <c r="D420" t="s">
        <v>51</v>
      </c>
      <c r="E420" t="s">
        <v>96</v>
      </c>
      <c r="F420" t="s">
        <v>44</v>
      </c>
      <c r="G420" t="s">
        <v>45</v>
      </c>
      <c r="H420" t="s">
        <v>58</v>
      </c>
      <c r="I420" t="s">
        <v>38</v>
      </c>
      <c r="J420" t="s">
        <v>39</v>
      </c>
      <c r="K420">
        <v>29</v>
      </c>
      <c r="L420">
        <v>38.95</v>
      </c>
      <c r="M420">
        <v>10</v>
      </c>
      <c r="O420" t="s">
        <v>28</v>
      </c>
      <c r="P420" t="s">
        <v>64</v>
      </c>
      <c r="Q420" t="s">
        <v>76</v>
      </c>
      <c r="R420" t="s">
        <v>42</v>
      </c>
      <c r="S420">
        <v>2</v>
      </c>
    </row>
    <row r="421" spans="1:18">
      <c r="A421">
        <v>420</v>
      </c>
      <c r="B421" s="14">
        <v>45700</v>
      </c>
      <c r="C421" t="s">
        <v>33</v>
      </c>
      <c r="D421" t="s">
        <v>61</v>
      </c>
      <c r="E421" t="s">
        <v>80</v>
      </c>
      <c r="H421" t="s">
        <v>58</v>
      </c>
      <c r="I421" t="s">
        <v>47</v>
      </c>
      <c r="J421" t="s">
        <v>63</v>
      </c>
      <c r="K421">
        <v>13</v>
      </c>
      <c r="L421">
        <v>51.59</v>
      </c>
      <c r="O421" t="s">
        <v>28</v>
      </c>
      <c r="P421" t="s">
        <v>75</v>
      </c>
      <c r="Q421" t="s">
        <v>65</v>
      </c>
      <c r="R421" t="s">
        <v>31</v>
      </c>
    </row>
    <row r="422" spans="1:18">
      <c r="A422">
        <v>421</v>
      </c>
      <c r="B422" s="14">
        <v>45847</v>
      </c>
      <c r="C422" t="s">
        <v>85</v>
      </c>
      <c r="D422" t="s">
        <v>56</v>
      </c>
      <c r="E422" t="s">
        <v>78</v>
      </c>
      <c r="F422" t="s">
        <v>23</v>
      </c>
      <c r="G422" t="s">
        <v>45</v>
      </c>
      <c r="H422" t="s">
        <v>46</v>
      </c>
      <c r="I422" t="s">
        <v>53</v>
      </c>
      <c r="J422" t="s">
        <v>63</v>
      </c>
      <c r="K422">
        <v>36</v>
      </c>
      <c r="L422">
        <v>13.32</v>
      </c>
      <c r="M422">
        <v>15</v>
      </c>
      <c r="O422" t="s">
        <v>59</v>
      </c>
      <c r="P422" t="s">
        <v>29</v>
      </c>
      <c r="Q422" t="s">
        <v>41</v>
      </c>
      <c r="R422" t="s">
        <v>31</v>
      </c>
    </row>
    <row r="423" spans="1:19">
      <c r="A423">
        <v>422</v>
      </c>
      <c r="B423" s="14">
        <v>45870</v>
      </c>
      <c r="C423" t="s">
        <v>50</v>
      </c>
      <c r="D423" t="s">
        <v>61</v>
      </c>
      <c r="E423" t="s">
        <v>98</v>
      </c>
      <c r="F423" t="s">
        <v>36</v>
      </c>
      <c r="G423" t="s">
        <v>88</v>
      </c>
      <c r="H423" t="s">
        <v>25</v>
      </c>
      <c r="I423" t="s">
        <v>26</v>
      </c>
      <c r="J423" t="s">
        <v>48</v>
      </c>
      <c r="K423">
        <v>31</v>
      </c>
      <c r="L423">
        <v>98.9</v>
      </c>
      <c r="O423" t="s">
        <v>54</v>
      </c>
      <c r="P423" t="s">
        <v>71</v>
      </c>
      <c r="Q423" t="s">
        <v>65</v>
      </c>
      <c r="R423" t="s">
        <v>31</v>
      </c>
      <c r="S423">
        <v>1</v>
      </c>
    </row>
    <row r="424" spans="1:19">
      <c r="A424">
        <v>423</v>
      </c>
      <c r="B424" s="14">
        <v>45985</v>
      </c>
      <c r="C424" t="s">
        <v>60</v>
      </c>
      <c r="D424" t="s">
        <v>83</v>
      </c>
      <c r="E424" t="s">
        <v>92</v>
      </c>
      <c r="F424" t="s">
        <v>36</v>
      </c>
      <c r="G424" t="s">
        <v>81</v>
      </c>
      <c r="H424" t="s">
        <v>37</v>
      </c>
      <c r="I424" t="s">
        <v>26</v>
      </c>
      <c r="J424" t="s">
        <v>39</v>
      </c>
      <c r="K424">
        <v>12</v>
      </c>
      <c r="L424">
        <v>84.07</v>
      </c>
      <c r="M424">
        <v>10</v>
      </c>
      <c r="O424" t="s">
        <v>59</v>
      </c>
      <c r="P424" t="s">
        <v>71</v>
      </c>
      <c r="Q424" t="s">
        <v>41</v>
      </c>
      <c r="S424">
        <v>3</v>
      </c>
    </row>
    <row r="425" spans="1:20">
      <c r="A425">
        <v>424</v>
      </c>
      <c r="B425" s="14">
        <v>45944</v>
      </c>
      <c r="C425" t="s">
        <v>55</v>
      </c>
      <c r="D425" t="s">
        <v>83</v>
      </c>
      <c r="E425" t="s">
        <v>107</v>
      </c>
      <c r="F425" t="s">
        <v>44</v>
      </c>
      <c r="G425" t="s">
        <v>88</v>
      </c>
      <c r="H425" t="s">
        <v>25</v>
      </c>
      <c r="I425" t="s">
        <v>53</v>
      </c>
      <c r="J425" t="s">
        <v>48</v>
      </c>
      <c r="K425">
        <v>41</v>
      </c>
      <c r="L425">
        <v>84.25</v>
      </c>
      <c r="M425">
        <v>15</v>
      </c>
      <c r="O425" t="s">
        <v>28</v>
      </c>
      <c r="P425" t="s">
        <v>75</v>
      </c>
      <c r="Q425" t="s">
        <v>65</v>
      </c>
      <c r="R425" t="s">
        <v>31</v>
      </c>
      <c r="S425">
        <v>4</v>
      </c>
      <c r="T425" t="s">
        <v>32</v>
      </c>
    </row>
    <row r="426" spans="1:17">
      <c r="A426">
        <v>425</v>
      </c>
      <c r="B426" s="14">
        <v>45672</v>
      </c>
      <c r="C426" t="s">
        <v>20</v>
      </c>
      <c r="D426" t="s">
        <v>61</v>
      </c>
      <c r="E426" t="s">
        <v>86</v>
      </c>
      <c r="F426" t="s">
        <v>70</v>
      </c>
      <c r="G426" t="s">
        <v>88</v>
      </c>
      <c r="H426" t="s">
        <v>37</v>
      </c>
      <c r="I426" t="s">
        <v>53</v>
      </c>
      <c r="J426" t="s">
        <v>63</v>
      </c>
      <c r="K426">
        <v>37</v>
      </c>
      <c r="L426">
        <v>46.43</v>
      </c>
      <c r="M426">
        <v>10</v>
      </c>
      <c r="O426" t="s">
        <v>59</v>
      </c>
      <c r="P426" t="s">
        <v>71</v>
      </c>
      <c r="Q426" t="s">
        <v>41</v>
      </c>
    </row>
    <row r="427" spans="1:19">
      <c r="A427">
        <v>426</v>
      </c>
      <c r="B427" s="14">
        <v>45790</v>
      </c>
      <c r="C427" t="s">
        <v>50</v>
      </c>
      <c r="D427" t="s">
        <v>34</v>
      </c>
      <c r="E427" t="s">
        <v>117</v>
      </c>
      <c r="F427" t="s">
        <v>91</v>
      </c>
      <c r="G427" t="s">
        <v>45</v>
      </c>
      <c r="H427" t="s">
        <v>73</v>
      </c>
      <c r="I427" t="s">
        <v>26</v>
      </c>
      <c r="J427" t="s">
        <v>48</v>
      </c>
      <c r="K427">
        <v>11</v>
      </c>
      <c r="L427">
        <v>10.02</v>
      </c>
      <c r="M427">
        <v>10</v>
      </c>
      <c r="O427" t="s">
        <v>59</v>
      </c>
      <c r="P427" t="s">
        <v>75</v>
      </c>
      <c r="Q427" t="s">
        <v>30</v>
      </c>
      <c r="R427" t="s">
        <v>42</v>
      </c>
      <c r="S427">
        <v>3</v>
      </c>
    </row>
    <row r="428" spans="1:20">
      <c r="A428">
        <v>427</v>
      </c>
      <c r="B428" s="14">
        <v>45921</v>
      </c>
      <c r="C428" t="s">
        <v>50</v>
      </c>
      <c r="D428" t="s">
        <v>61</v>
      </c>
      <c r="E428" t="s">
        <v>104</v>
      </c>
      <c r="F428" t="s">
        <v>91</v>
      </c>
      <c r="G428" t="s">
        <v>88</v>
      </c>
      <c r="H428" t="s">
        <v>37</v>
      </c>
      <c r="I428" t="s">
        <v>26</v>
      </c>
      <c r="J428" t="s">
        <v>48</v>
      </c>
      <c r="K428">
        <v>21</v>
      </c>
      <c r="L428">
        <v>83.55</v>
      </c>
      <c r="M428">
        <v>10</v>
      </c>
      <c r="O428" t="s">
        <v>54</v>
      </c>
      <c r="P428" t="s">
        <v>75</v>
      </c>
      <c r="Q428" t="s">
        <v>30</v>
      </c>
      <c r="S428">
        <v>5</v>
      </c>
      <c r="T428" t="s">
        <v>49</v>
      </c>
    </row>
    <row r="429" spans="1:19">
      <c r="A429">
        <v>428</v>
      </c>
      <c r="B429" s="14">
        <v>45731</v>
      </c>
      <c r="C429" t="s">
        <v>20</v>
      </c>
      <c r="D429" t="s">
        <v>66</v>
      </c>
      <c r="E429" t="s">
        <v>99</v>
      </c>
      <c r="F429" t="s">
        <v>23</v>
      </c>
      <c r="G429" t="s">
        <v>45</v>
      </c>
      <c r="H429" t="s">
        <v>73</v>
      </c>
      <c r="I429" t="s">
        <v>38</v>
      </c>
      <c r="J429" t="s">
        <v>48</v>
      </c>
      <c r="K429">
        <v>11</v>
      </c>
      <c r="L429">
        <v>14.73</v>
      </c>
      <c r="M429">
        <v>5</v>
      </c>
      <c r="O429" t="s">
        <v>40</v>
      </c>
      <c r="P429" t="s">
        <v>64</v>
      </c>
      <c r="Q429" t="s">
        <v>30</v>
      </c>
      <c r="R429" t="s">
        <v>42</v>
      </c>
      <c r="S429">
        <v>4</v>
      </c>
    </row>
    <row r="430" spans="1:18">
      <c r="A430">
        <v>429</v>
      </c>
      <c r="B430" s="14">
        <v>45717</v>
      </c>
      <c r="C430" t="s">
        <v>77</v>
      </c>
      <c r="D430" t="s">
        <v>66</v>
      </c>
      <c r="E430" t="s">
        <v>35</v>
      </c>
      <c r="F430" t="s">
        <v>70</v>
      </c>
      <c r="G430" t="s">
        <v>45</v>
      </c>
      <c r="H430" t="s">
        <v>46</v>
      </c>
      <c r="I430" t="s">
        <v>53</v>
      </c>
      <c r="J430" t="s">
        <v>39</v>
      </c>
      <c r="K430">
        <v>29</v>
      </c>
      <c r="L430">
        <v>89.52</v>
      </c>
      <c r="O430" t="s">
        <v>54</v>
      </c>
      <c r="P430" t="s">
        <v>64</v>
      </c>
      <c r="Q430" t="s">
        <v>41</v>
      </c>
      <c r="R430" t="s">
        <v>31</v>
      </c>
    </row>
    <row r="431" spans="1:19">
      <c r="A431">
        <v>430</v>
      </c>
      <c r="B431" s="14">
        <v>45771</v>
      </c>
      <c r="C431" t="s">
        <v>50</v>
      </c>
      <c r="D431" t="s">
        <v>61</v>
      </c>
      <c r="E431" t="s">
        <v>57</v>
      </c>
      <c r="F431" t="s">
        <v>91</v>
      </c>
      <c r="H431" t="s">
        <v>25</v>
      </c>
      <c r="I431" t="s">
        <v>53</v>
      </c>
      <c r="J431" t="s">
        <v>39</v>
      </c>
      <c r="K431">
        <v>14</v>
      </c>
      <c r="L431">
        <v>17.37</v>
      </c>
      <c r="M431">
        <v>0</v>
      </c>
      <c r="O431" t="s">
        <v>59</v>
      </c>
      <c r="P431" t="s">
        <v>71</v>
      </c>
      <c r="Q431" t="s">
        <v>30</v>
      </c>
      <c r="R431" t="s">
        <v>31</v>
      </c>
      <c r="S431">
        <v>4</v>
      </c>
    </row>
    <row r="432" spans="1:20">
      <c r="A432">
        <v>431</v>
      </c>
      <c r="B432" s="14">
        <v>45679</v>
      </c>
      <c r="C432" t="s">
        <v>50</v>
      </c>
      <c r="D432" t="s">
        <v>21</v>
      </c>
      <c r="E432" t="s">
        <v>118</v>
      </c>
      <c r="G432" t="s">
        <v>68</v>
      </c>
      <c r="H432" t="s">
        <v>37</v>
      </c>
      <c r="I432" t="s">
        <v>74</v>
      </c>
      <c r="J432" t="s">
        <v>63</v>
      </c>
      <c r="K432">
        <v>8</v>
      </c>
      <c r="L432">
        <v>91.31</v>
      </c>
      <c r="M432">
        <v>0</v>
      </c>
      <c r="O432" t="s">
        <v>28</v>
      </c>
      <c r="P432" t="s">
        <v>75</v>
      </c>
      <c r="Q432" t="s">
        <v>30</v>
      </c>
      <c r="R432" t="s">
        <v>31</v>
      </c>
      <c r="S432">
        <v>1</v>
      </c>
      <c r="T432" t="s">
        <v>32</v>
      </c>
    </row>
    <row r="433" spans="1:20">
      <c r="A433">
        <v>432</v>
      </c>
      <c r="B433" s="14">
        <v>45958</v>
      </c>
      <c r="C433" t="s">
        <v>50</v>
      </c>
      <c r="D433" t="s">
        <v>66</v>
      </c>
      <c r="E433" t="s">
        <v>112</v>
      </c>
      <c r="F433" t="s">
        <v>23</v>
      </c>
      <c r="G433" t="s">
        <v>88</v>
      </c>
      <c r="H433" t="s">
        <v>58</v>
      </c>
      <c r="I433" t="s">
        <v>26</v>
      </c>
      <c r="J433" t="s">
        <v>48</v>
      </c>
      <c r="K433">
        <v>38</v>
      </c>
      <c r="L433">
        <v>38.04</v>
      </c>
      <c r="M433">
        <v>5</v>
      </c>
      <c r="O433" t="s">
        <v>40</v>
      </c>
      <c r="P433" t="s">
        <v>71</v>
      </c>
      <c r="Q433" t="s">
        <v>30</v>
      </c>
      <c r="S433">
        <v>1</v>
      </c>
      <c r="T433" t="s">
        <v>32</v>
      </c>
    </row>
    <row r="434" spans="1:19">
      <c r="A434">
        <v>433</v>
      </c>
      <c r="B434" s="14">
        <v>45756</v>
      </c>
      <c r="C434" t="s">
        <v>60</v>
      </c>
      <c r="D434" t="s">
        <v>66</v>
      </c>
      <c r="E434" t="s">
        <v>79</v>
      </c>
      <c r="F434" t="s">
        <v>36</v>
      </c>
      <c r="G434" t="s">
        <v>88</v>
      </c>
      <c r="H434" t="s">
        <v>58</v>
      </c>
      <c r="I434" t="s">
        <v>26</v>
      </c>
      <c r="J434" t="s">
        <v>63</v>
      </c>
      <c r="K434">
        <v>24</v>
      </c>
      <c r="L434">
        <v>71.32</v>
      </c>
      <c r="M434">
        <v>5</v>
      </c>
      <c r="O434" t="s">
        <v>59</v>
      </c>
      <c r="P434" t="s">
        <v>71</v>
      </c>
      <c r="Q434" t="s">
        <v>76</v>
      </c>
      <c r="R434" t="s">
        <v>42</v>
      </c>
      <c r="S434">
        <v>4</v>
      </c>
    </row>
    <row r="435" spans="1:19">
      <c r="A435">
        <v>434</v>
      </c>
      <c r="B435" s="14">
        <v>45767</v>
      </c>
      <c r="C435" t="s">
        <v>33</v>
      </c>
      <c r="D435" t="s">
        <v>66</v>
      </c>
      <c r="E435" t="s">
        <v>97</v>
      </c>
      <c r="F435" t="s">
        <v>44</v>
      </c>
      <c r="G435" t="s">
        <v>45</v>
      </c>
      <c r="H435" t="s">
        <v>58</v>
      </c>
      <c r="I435" t="s">
        <v>38</v>
      </c>
      <c r="J435" t="s">
        <v>27</v>
      </c>
      <c r="K435">
        <v>34</v>
      </c>
      <c r="L435">
        <v>17.91</v>
      </c>
      <c r="M435">
        <v>10</v>
      </c>
      <c r="O435" t="s">
        <v>54</v>
      </c>
      <c r="P435" t="s">
        <v>71</v>
      </c>
      <c r="Q435" t="s">
        <v>30</v>
      </c>
      <c r="R435" t="s">
        <v>42</v>
      </c>
      <c r="S435">
        <v>4</v>
      </c>
    </row>
    <row r="436" spans="1:20">
      <c r="A436">
        <v>435</v>
      </c>
      <c r="B436" s="14">
        <v>45855</v>
      </c>
      <c r="C436" t="s">
        <v>60</v>
      </c>
      <c r="D436" t="s">
        <v>83</v>
      </c>
      <c r="E436" t="s">
        <v>95</v>
      </c>
      <c r="G436" t="s">
        <v>45</v>
      </c>
      <c r="H436" t="s">
        <v>73</v>
      </c>
      <c r="I436" t="s">
        <v>26</v>
      </c>
      <c r="J436" t="s">
        <v>63</v>
      </c>
      <c r="K436">
        <v>19</v>
      </c>
      <c r="L436">
        <v>98.57</v>
      </c>
      <c r="M436">
        <v>15</v>
      </c>
      <c r="O436" t="s">
        <v>40</v>
      </c>
      <c r="P436" t="s">
        <v>71</v>
      </c>
      <c r="Q436" t="s">
        <v>65</v>
      </c>
      <c r="S436">
        <v>3</v>
      </c>
      <c r="T436" t="s">
        <v>32</v>
      </c>
    </row>
    <row r="437" spans="1:20">
      <c r="A437">
        <v>436</v>
      </c>
      <c r="B437" s="14">
        <v>45664</v>
      </c>
      <c r="C437" t="s">
        <v>55</v>
      </c>
      <c r="D437" t="s">
        <v>83</v>
      </c>
      <c r="E437" t="s">
        <v>69</v>
      </c>
      <c r="F437" t="s">
        <v>44</v>
      </c>
      <c r="G437" t="s">
        <v>81</v>
      </c>
      <c r="H437" t="s">
        <v>73</v>
      </c>
      <c r="I437" t="s">
        <v>47</v>
      </c>
      <c r="J437" t="s">
        <v>27</v>
      </c>
      <c r="K437">
        <v>8</v>
      </c>
      <c r="L437">
        <v>18.62</v>
      </c>
      <c r="M437">
        <v>15</v>
      </c>
      <c r="O437" t="s">
        <v>28</v>
      </c>
      <c r="P437" t="s">
        <v>64</v>
      </c>
      <c r="Q437" t="s">
        <v>30</v>
      </c>
      <c r="R437" t="s">
        <v>42</v>
      </c>
      <c r="S437">
        <v>2</v>
      </c>
      <c r="T437" t="s">
        <v>49</v>
      </c>
    </row>
    <row r="438" spans="1:18">
      <c r="A438">
        <v>437</v>
      </c>
      <c r="B438" s="14">
        <v>45760</v>
      </c>
      <c r="C438" t="s">
        <v>33</v>
      </c>
      <c r="D438" t="s">
        <v>61</v>
      </c>
      <c r="E438" t="s">
        <v>87</v>
      </c>
      <c r="F438" t="s">
        <v>44</v>
      </c>
      <c r="G438" t="s">
        <v>24</v>
      </c>
      <c r="H438" t="s">
        <v>73</v>
      </c>
      <c r="I438" t="s">
        <v>38</v>
      </c>
      <c r="J438" t="s">
        <v>48</v>
      </c>
      <c r="K438">
        <v>49</v>
      </c>
      <c r="L438">
        <v>72.78</v>
      </c>
      <c r="O438" t="s">
        <v>54</v>
      </c>
      <c r="P438" t="s">
        <v>29</v>
      </c>
      <c r="Q438" t="s">
        <v>41</v>
      </c>
      <c r="R438" t="s">
        <v>42</v>
      </c>
    </row>
    <row r="439" spans="1:19">
      <c r="A439">
        <v>438</v>
      </c>
      <c r="B439" s="14">
        <v>45906</v>
      </c>
      <c r="C439" t="s">
        <v>33</v>
      </c>
      <c r="D439" t="s">
        <v>56</v>
      </c>
      <c r="E439" t="s">
        <v>90</v>
      </c>
      <c r="F439" t="s">
        <v>70</v>
      </c>
      <c r="G439" t="s">
        <v>88</v>
      </c>
      <c r="H439" t="s">
        <v>58</v>
      </c>
      <c r="I439" t="s">
        <v>53</v>
      </c>
      <c r="J439" t="s">
        <v>63</v>
      </c>
      <c r="K439">
        <v>32</v>
      </c>
      <c r="L439">
        <v>26.93</v>
      </c>
      <c r="M439">
        <v>5</v>
      </c>
      <c r="O439" t="s">
        <v>28</v>
      </c>
      <c r="P439" t="s">
        <v>71</v>
      </c>
      <c r="Q439" t="s">
        <v>30</v>
      </c>
      <c r="R439" t="s">
        <v>31</v>
      </c>
      <c r="S439">
        <v>4</v>
      </c>
    </row>
    <row r="440" spans="1:18">
      <c r="A440">
        <v>439</v>
      </c>
      <c r="B440" s="14">
        <v>45749</v>
      </c>
      <c r="C440" t="s">
        <v>85</v>
      </c>
      <c r="D440" t="s">
        <v>34</v>
      </c>
      <c r="E440" t="s">
        <v>69</v>
      </c>
      <c r="F440" t="s">
        <v>23</v>
      </c>
      <c r="G440" t="s">
        <v>24</v>
      </c>
      <c r="H440" t="s">
        <v>46</v>
      </c>
      <c r="I440" t="s">
        <v>47</v>
      </c>
      <c r="J440" t="s">
        <v>27</v>
      </c>
      <c r="K440">
        <v>49</v>
      </c>
      <c r="L440">
        <v>12.27</v>
      </c>
      <c r="O440" t="s">
        <v>59</v>
      </c>
      <c r="P440" t="s">
        <v>29</v>
      </c>
      <c r="Q440" t="s">
        <v>76</v>
      </c>
      <c r="R440" t="s">
        <v>42</v>
      </c>
    </row>
    <row r="441" spans="1:19">
      <c r="A441">
        <v>440</v>
      </c>
      <c r="B441" s="14">
        <v>45909</v>
      </c>
      <c r="C441" t="s">
        <v>33</v>
      </c>
      <c r="D441" t="s">
        <v>56</v>
      </c>
      <c r="E441" t="s">
        <v>121</v>
      </c>
      <c r="F441" t="s">
        <v>23</v>
      </c>
      <c r="G441" t="s">
        <v>68</v>
      </c>
      <c r="H441" t="s">
        <v>37</v>
      </c>
      <c r="I441" t="s">
        <v>74</v>
      </c>
      <c r="J441" t="s">
        <v>27</v>
      </c>
      <c r="K441">
        <v>28</v>
      </c>
      <c r="L441">
        <v>88.61</v>
      </c>
      <c r="M441">
        <v>0</v>
      </c>
      <c r="O441" t="s">
        <v>59</v>
      </c>
      <c r="P441" t="s">
        <v>29</v>
      </c>
      <c r="Q441" t="s">
        <v>41</v>
      </c>
      <c r="R441" t="s">
        <v>42</v>
      </c>
      <c r="S441">
        <v>4</v>
      </c>
    </row>
    <row r="442" spans="1:19">
      <c r="A442">
        <v>441</v>
      </c>
      <c r="B442" s="14">
        <v>45676</v>
      </c>
      <c r="C442" t="s">
        <v>20</v>
      </c>
      <c r="D442" t="s">
        <v>66</v>
      </c>
      <c r="E442" t="s">
        <v>96</v>
      </c>
      <c r="G442" t="s">
        <v>45</v>
      </c>
      <c r="H442" t="s">
        <v>25</v>
      </c>
      <c r="I442" t="s">
        <v>38</v>
      </c>
      <c r="J442" t="s">
        <v>63</v>
      </c>
      <c r="K442">
        <v>9</v>
      </c>
      <c r="L442">
        <v>34.68</v>
      </c>
      <c r="M442">
        <v>15</v>
      </c>
      <c r="O442" t="s">
        <v>59</v>
      </c>
      <c r="P442" t="s">
        <v>71</v>
      </c>
      <c r="Q442" t="s">
        <v>65</v>
      </c>
      <c r="S442">
        <v>5</v>
      </c>
    </row>
    <row r="443" spans="1:19">
      <c r="A443">
        <v>442</v>
      </c>
      <c r="B443" s="14">
        <v>45901</v>
      </c>
      <c r="C443" t="s">
        <v>33</v>
      </c>
      <c r="D443" t="s">
        <v>61</v>
      </c>
      <c r="E443" t="s">
        <v>120</v>
      </c>
      <c r="F443" t="s">
        <v>36</v>
      </c>
      <c r="G443" t="s">
        <v>88</v>
      </c>
      <c r="H443" t="s">
        <v>73</v>
      </c>
      <c r="I443" t="s">
        <v>53</v>
      </c>
      <c r="J443" t="s">
        <v>63</v>
      </c>
      <c r="K443">
        <v>38</v>
      </c>
      <c r="L443">
        <v>97.23</v>
      </c>
      <c r="O443" t="s">
        <v>54</v>
      </c>
      <c r="P443" t="s">
        <v>75</v>
      </c>
      <c r="Q443" t="s">
        <v>41</v>
      </c>
      <c r="R443" t="s">
        <v>31</v>
      </c>
      <c r="S443">
        <v>1</v>
      </c>
    </row>
    <row r="444" spans="1:20">
      <c r="A444">
        <v>443</v>
      </c>
      <c r="B444" s="14">
        <v>45723</v>
      </c>
      <c r="C444" t="s">
        <v>77</v>
      </c>
      <c r="D444" t="s">
        <v>56</v>
      </c>
      <c r="E444" t="s">
        <v>84</v>
      </c>
      <c r="G444" t="s">
        <v>68</v>
      </c>
      <c r="H444" t="s">
        <v>58</v>
      </c>
      <c r="I444" t="s">
        <v>53</v>
      </c>
      <c r="J444" t="s">
        <v>63</v>
      </c>
      <c r="K444">
        <v>7</v>
      </c>
      <c r="L444">
        <v>45.67</v>
      </c>
      <c r="M444">
        <v>10</v>
      </c>
      <c r="O444" t="s">
        <v>59</v>
      </c>
      <c r="P444" t="s">
        <v>75</v>
      </c>
      <c r="Q444" t="s">
        <v>30</v>
      </c>
      <c r="S444">
        <v>2</v>
      </c>
      <c r="T444" t="s">
        <v>32</v>
      </c>
    </row>
    <row r="445" spans="1:19">
      <c r="A445">
        <v>444</v>
      </c>
      <c r="B445" s="14">
        <v>45778</v>
      </c>
      <c r="C445" t="s">
        <v>55</v>
      </c>
      <c r="D445" t="s">
        <v>56</v>
      </c>
      <c r="E445" t="s">
        <v>98</v>
      </c>
      <c r="F445" t="s">
        <v>44</v>
      </c>
      <c r="H445" t="s">
        <v>58</v>
      </c>
      <c r="I445" t="s">
        <v>53</v>
      </c>
      <c r="J445" t="s">
        <v>27</v>
      </c>
      <c r="K445">
        <v>22</v>
      </c>
      <c r="L445">
        <v>21.13</v>
      </c>
      <c r="O445" t="s">
        <v>54</v>
      </c>
      <c r="P445" t="s">
        <v>71</v>
      </c>
      <c r="Q445" t="s">
        <v>65</v>
      </c>
      <c r="S445">
        <v>4</v>
      </c>
    </row>
    <row r="446" spans="1:20">
      <c r="A446">
        <v>445</v>
      </c>
      <c r="B446" s="14">
        <v>45794</v>
      </c>
      <c r="C446" t="s">
        <v>20</v>
      </c>
      <c r="D446" t="s">
        <v>51</v>
      </c>
      <c r="E446" t="s">
        <v>115</v>
      </c>
      <c r="F446" t="s">
        <v>36</v>
      </c>
      <c r="G446" t="s">
        <v>88</v>
      </c>
      <c r="H446" t="s">
        <v>46</v>
      </c>
      <c r="I446" t="s">
        <v>38</v>
      </c>
      <c r="J446" t="s">
        <v>63</v>
      </c>
      <c r="K446">
        <v>21</v>
      </c>
      <c r="L446">
        <v>59.39</v>
      </c>
      <c r="M446">
        <v>15</v>
      </c>
      <c r="O446" t="s">
        <v>28</v>
      </c>
      <c r="P446" t="s">
        <v>64</v>
      </c>
      <c r="Q446" t="s">
        <v>41</v>
      </c>
      <c r="R446" t="s">
        <v>42</v>
      </c>
      <c r="S446">
        <v>5</v>
      </c>
      <c r="T446" t="s">
        <v>49</v>
      </c>
    </row>
    <row r="447" spans="1:19">
      <c r="A447">
        <v>446</v>
      </c>
      <c r="B447" s="14">
        <v>45743</v>
      </c>
      <c r="C447" t="s">
        <v>33</v>
      </c>
      <c r="D447" t="s">
        <v>56</v>
      </c>
      <c r="E447" t="s">
        <v>116</v>
      </c>
      <c r="F447" t="s">
        <v>70</v>
      </c>
      <c r="G447" t="s">
        <v>24</v>
      </c>
      <c r="H447" t="s">
        <v>73</v>
      </c>
      <c r="I447" t="s">
        <v>74</v>
      </c>
      <c r="J447" t="s">
        <v>39</v>
      </c>
      <c r="K447">
        <v>19</v>
      </c>
      <c r="L447">
        <v>30.19</v>
      </c>
      <c r="M447">
        <v>10</v>
      </c>
      <c r="O447" t="s">
        <v>59</v>
      </c>
      <c r="P447" t="s">
        <v>64</v>
      </c>
      <c r="Q447" t="s">
        <v>30</v>
      </c>
      <c r="S447">
        <v>5</v>
      </c>
    </row>
    <row r="448" spans="1:19">
      <c r="A448">
        <v>447</v>
      </c>
      <c r="B448" s="14">
        <v>45961</v>
      </c>
      <c r="C448" t="s">
        <v>60</v>
      </c>
      <c r="D448" t="s">
        <v>56</v>
      </c>
      <c r="E448" t="s">
        <v>52</v>
      </c>
      <c r="F448" t="s">
        <v>36</v>
      </c>
      <c r="G448" t="s">
        <v>68</v>
      </c>
      <c r="H448" t="s">
        <v>73</v>
      </c>
      <c r="I448" t="s">
        <v>38</v>
      </c>
      <c r="J448" t="s">
        <v>39</v>
      </c>
      <c r="K448">
        <v>23</v>
      </c>
      <c r="L448">
        <v>80.59</v>
      </c>
      <c r="M448">
        <v>10</v>
      </c>
      <c r="O448" t="s">
        <v>54</v>
      </c>
      <c r="P448" t="s">
        <v>29</v>
      </c>
      <c r="Q448" t="s">
        <v>41</v>
      </c>
      <c r="R448" t="s">
        <v>31</v>
      </c>
      <c r="S448">
        <v>4</v>
      </c>
    </row>
    <row r="449" spans="1:20">
      <c r="A449">
        <v>448</v>
      </c>
      <c r="B449" s="14">
        <v>45786</v>
      </c>
      <c r="C449" t="s">
        <v>33</v>
      </c>
      <c r="D449" t="s">
        <v>34</v>
      </c>
      <c r="E449" t="s">
        <v>93</v>
      </c>
      <c r="G449" t="s">
        <v>68</v>
      </c>
      <c r="H449" t="s">
        <v>25</v>
      </c>
      <c r="I449" t="s">
        <v>74</v>
      </c>
      <c r="J449" t="s">
        <v>39</v>
      </c>
      <c r="K449">
        <v>37</v>
      </c>
      <c r="L449">
        <v>52.42</v>
      </c>
      <c r="M449">
        <v>15</v>
      </c>
      <c r="O449" t="s">
        <v>54</v>
      </c>
      <c r="P449" t="s">
        <v>29</v>
      </c>
      <c r="Q449" t="s">
        <v>30</v>
      </c>
      <c r="S449">
        <v>2</v>
      </c>
      <c r="T449" t="s">
        <v>49</v>
      </c>
    </row>
    <row r="450" spans="1:20">
      <c r="A450">
        <v>449</v>
      </c>
      <c r="B450" s="14">
        <v>45894</v>
      </c>
      <c r="C450" t="s">
        <v>50</v>
      </c>
      <c r="D450" t="s">
        <v>66</v>
      </c>
      <c r="E450" t="s">
        <v>90</v>
      </c>
      <c r="H450" t="s">
        <v>46</v>
      </c>
      <c r="I450" t="s">
        <v>38</v>
      </c>
      <c r="J450" t="s">
        <v>63</v>
      </c>
      <c r="K450">
        <v>21</v>
      </c>
      <c r="L450">
        <v>86.72</v>
      </c>
      <c r="M450">
        <v>0</v>
      </c>
      <c r="O450" t="s">
        <v>40</v>
      </c>
      <c r="P450" t="s">
        <v>29</v>
      </c>
      <c r="Q450" t="s">
        <v>41</v>
      </c>
      <c r="R450" t="s">
        <v>42</v>
      </c>
      <c r="T450" t="s">
        <v>32</v>
      </c>
    </row>
    <row r="451" spans="1:18">
      <c r="A451">
        <v>450</v>
      </c>
      <c r="B451" s="14">
        <v>45789</v>
      </c>
      <c r="C451" t="s">
        <v>55</v>
      </c>
      <c r="D451" t="s">
        <v>34</v>
      </c>
      <c r="E451" t="s">
        <v>67</v>
      </c>
      <c r="F451" t="s">
        <v>70</v>
      </c>
      <c r="G451" t="s">
        <v>24</v>
      </c>
      <c r="H451" t="s">
        <v>58</v>
      </c>
      <c r="I451" t="s">
        <v>26</v>
      </c>
      <c r="J451" t="s">
        <v>39</v>
      </c>
      <c r="K451">
        <v>2</v>
      </c>
      <c r="L451">
        <v>28.33</v>
      </c>
      <c r="M451">
        <v>10</v>
      </c>
      <c r="O451" t="s">
        <v>59</v>
      </c>
      <c r="P451" t="s">
        <v>29</v>
      </c>
      <c r="Q451" t="s">
        <v>65</v>
      </c>
      <c r="R451" t="s">
        <v>42</v>
      </c>
    </row>
    <row r="452" spans="1:20">
      <c r="A452">
        <v>451</v>
      </c>
      <c r="B452" s="14">
        <v>45761</v>
      </c>
      <c r="C452" t="s">
        <v>50</v>
      </c>
      <c r="D452" t="s">
        <v>56</v>
      </c>
      <c r="E452" t="s">
        <v>89</v>
      </c>
      <c r="F452" t="s">
        <v>44</v>
      </c>
      <c r="G452" t="s">
        <v>45</v>
      </c>
      <c r="H452" t="s">
        <v>46</v>
      </c>
      <c r="I452" t="s">
        <v>47</v>
      </c>
      <c r="J452" t="s">
        <v>39</v>
      </c>
      <c r="K452">
        <v>42</v>
      </c>
      <c r="L452">
        <v>85.99</v>
      </c>
      <c r="M452">
        <v>15</v>
      </c>
      <c r="O452" t="s">
        <v>28</v>
      </c>
      <c r="P452" t="s">
        <v>71</v>
      </c>
      <c r="Q452" t="s">
        <v>30</v>
      </c>
      <c r="R452" t="s">
        <v>42</v>
      </c>
      <c r="S452">
        <v>5</v>
      </c>
      <c r="T452" t="s">
        <v>49</v>
      </c>
    </row>
    <row r="453" spans="1:19">
      <c r="A453">
        <v>452</v>
      </c>
      <c r="B453" s="14">
        <v>45690</v>
      </c>
      <c r="C453" t="s">
        <v>85</v>
      </c>
      <c r="D453" t="s">
        <v>56</v>
      </c>
      <c r="E453" t="s">
        <v>112</v>
      </c>
      <c r="G453" t="s">
        <v>88</v>
      </c>
      <c r="H453" t="s">
        <v>73</v>
      </c>
      <c r="I453" t="s">
        <v>26</v>
      </c>
      <c r="J453" t="s">
        <v>39</v>
      </c>
      <c r="K453">
        <v>8</v>
      </c>
      <c r="L453">
        <v>59.24</v>
      </c>
      <c r="O453" t="s">
        <v>28</v>
      </c>
      <c r="P453" t="s">
        <v>75</v>
      </c>
      <c r="Q453" t="s">
        <v>65</v>
      </c>
      <c r="R453" t="s">
        <v>31</v>
      </c>
      <c r="S453">
        <v>2</v>
      </c>
    </row>
    <row r="454" spans="1:19">
      <c r="A454">
        <v>453</v>
      </c>
      <c r="B454" s="14">
        <v>45818</v>
      </c>
      <c r="C454" t="s">
        <v>60</v>
      </c>
      <c r="D454" t="s">
        <v>61</v>
      </c>
      <c r="E454" t="s">
        <v>98</v>
      </c>
      <c r="G454" t="s">
        <v>81</v>
      </c>
      <c r="H454" t="s">
        <v>25</v>
      </c>
      <c r="I454" t="s">
        <v>38</v>
      </c>
      <c r="J454" t="s">
        <v>39</v>
      </c>
      <c r="K454">
        <v>10</v>
      </c>
      <c r="L454">
        <v>15.15</v>
      </c>
      <c r="M454">
        <v>5</v>
      </c>
      <c r="O454" t="s">
        <v>54</v>
      </c>
      <c r="P454" t="s">
        <v>29</v>
      </c>
      <c r="Q454" t="s">
        <v>65</v>
      </c>
      <c r="R454" t="s">
        <v>42</v>
      </c>
      <c r="S454">
        <v>5</v>
      </c>
    </row>
    <row r="455" spans="1:20">
      <c r="A455">
        <v>454</v>
      </c>
      <c r="B455" s="14">
        <v>45909</v>
      </c>
      <c r="C455" t="s">
        <v>33</v>
      </c>
      <c r="D455" t="s">
        <v>56</v>
      </c>
      <c r="E455" t="s">
        <v>57</v>
      </c>
      <c r="F455" t="s">
        <v>44</v>
      </c>
      <c r="G455" t="s">
        <v>45</v>
      </c>
      <c r="H455" t="s">
        <v>37</v>
      </c>
      <c r="I455" t="s">
        <v>38</v>
      </c>
      <c r="J455" t="s">
        <v>63</v>
      </c>
      <c r="K455">
        <v>44</v>
      </c>
      <c r="L455">
        <v>28.4</v>
      </c>
      <c r="M455">
        <v>10</v>
      </c>
      <c r="O455" t="s">
        <v>40</v>
      </c>
      <c r="P455" t="s">
        <v>75</v>
      </c>
      <c r="Q455" t="s">
        <v>65</v>
      </c>
      <c r="S455">
        <v>3</v>
      </c>
      <c r="T455" t="s">
        <v>49</v>
      </c>
    </row>
    <row r="456" spans="1:19">
      <c r="A456">
        <v>455</v>
      </c>
      <c r="B456" s="14">
        <v>45668</v>
      </c>
      <c r="C456" t="s">
        <v>55</v>
      </c>
      <c r="D456" t="s">
        <v>34</v>
      </c>
      <c r="E456" t="s">
        <v>118</v>
      </c>
      <c r="H456" t="s">
        <v>58</v>
      </c>
      <c r="I456" t="s">
        <v>26</v>
      </c>
      <c r="J456" t="s">
        <v>48</v>
      </c>
      <c r="K456">
        <v>36</v>
      </c>
      <c r="L456">
        <v>41.55</v>
      </c>
      <c r="M456">
        <v>10</v>
      </c>
      <c r="O456" t="s">
        <v>28</v>
      </c>
      <c r="P456" t="s">
        <v>64</v>
      </c>
      <c r="Q456" t="s">
        <v>65</v>
      </c>
      <c r="R456" t="s">
        <v>42</v>
      </c>
      <c r="S456">
        <v>1</v>
      </c>
    </row>
    <row r="457" spans="1:19">
      <c r="A457">
        <v>456</v>
      </c>
      <c r="B457" s="14">
        <v>45788</v>
      </c>
      <c r="C457" t="s">
        <v>60</v>
      </c>
      <c r="D457" t="s">
        <v>21</v>
      </c>
      <c r="E457" t="s">
        <v>79</v>
      </c>
      <c r="F457" t="s">
        <v>91</v>
      </c>
      <c r="G457" t="s">
        <v>45</v>
      </c>
      <c r="H457" t="s">
        <v>25</v>
      </c>
      <c r="I457" t="s">
        <v>26</v>
      </c>
      <c r="J457" t="s">
        <v>63</v>
      </c>
      <c r="K457">
        <v>41</v>
      </c>
      <c r="L457">
        <v>35.13</v>
      </c>
      <c r="M457">
        <v>15</v>
      </c>
      <c r="O457" t="s">
        <v>28</v>
      </c>
      <c r="P457" t="s">
        <v>75</v>
      </c>
      <c r="Q457" t="s">
        <v>30</v>
      </c>
      <c r="R457" t="s">
        <v>42</v>
      </c>
      <c r="S457">
        <v>4</v>
      </c>
    </row>
    <row r="458" spans="1:20">
      <c r="A458">
        <v>457</v>
      </c>
      <c r="B458" s="14">
        <v>45828</v>
      </c>
      <c r="C458" t="s">
        <v>55</v>
      </c>
      <c r="D458" t="s">
        <v>83</v>
      </c>
      <c r="E458" t="s">
        <v>106</v>
      </c>
      <c r="F458" t="s">
        <v>91</v>
      </c>
      <c r="H458" t="s">
        <v>46</v>
      </c>
      <c r="I458" t="s">
        <v>47</v>
      </c>
      <c r="J458" t="s">
        <v>27</v>
      </c>
      <c r="K458">
        <v>23</v>
      </c>
      <c r="L458">
        <v>44.98</v>
      </c>
      <c r="O458" t="s">
        <v>54</v>
      </c>
      <c r="P458" t="s">
        <v>29</v>
      </c>
      <c r="Q458" t="s">
        <v>30</v>
      </c>
      <c r="R458" t="s">
        <v>31</v>
      </c>
      <c r="T458" t="s">
        <v>32</v>
      </c>
    </row>
    <row r="459" spans="1:17">
      <c r="A459">
        <v>458</v>
      </c>
      <c r="B459" s="14">
        <v>45980</v>
      </c>
      <c r="C459" t="s">
        <v>85</v>
      </c>
      <c r="D459" t="s">
        <v>61</v>
      </c>
      <c r="E459" t="s">
        <v>109</v>
      </c>
      <c r="F459" t="s">
        <v>91</v>
      </c>
      <c r="G459" t="s">
        <v>88</v>
      </c>
      <c r="H459" t="s">
        <v>73</v>
      </c>
      <c r="I459" t="s">
        <v>26</v>
      </c>
      <c r="J459" t="s">
        <v>48</v>
      </c>
      <c r="K459">
        <v>21</v>
      </c>
      <c r="L459">
        <v>59.7</v>
      </c>
      <c r="M459">
        <v>0</v>
      </c>
      <c r="O459" t="s">
        <v>40</v>
      </c>
      <c r="P459" t="s">
        <v>64</v>
      </c>
      <c r="Q459" t="s">
        <v>76</v>
      </c>
    </row>
    <row r="460" spans="1:20">
      <c r="A460">
        <v>459</v>
      </c>
      <c r="B460" s="14">
        <v>45821</v>
      </c>
      <c r="C460" t="s">
        <v>85</v>
      </c>
      <c r="D460" t="s">
        <v>83</v>
      </c>
      <c r="E460" t="s">
        <v>22</v>
      </c>
      <c r="F460" t="s">
        <v>91</v>
      </c>
      <c r="G460" t="s">
        <v>45</v>
      </c>
      <c r="H460" t="s">
        <v>25</v>
      </c>
      <c r="I460" t="s">
        <v>47</v>
      </c>
      <c r="J460" t="s">
        <v>48</v>
      </c>
      <c r="K460">
        <v>19</v>
      </c>
      <c r="L460">
        <v>23.87</v>
      </c>
      <c r="M460">
        <v>15</v>
      </c>
      <c r="O460" t="s">
        <v>54</v>
      </c>
      <c r="P460" t="s">
        <v>64</v>
      </c>
      <c r="Q460" t="s">
        <v>65</v>
      </c>
      <c r="R460" t="s">
        <v>42</v>
      </c>
      <c r="S460">
        <v>5</v>
      </c>
      <c r="T460" t="s">
        <v>32</v>
      </c>
    </row>
    <row r="461" spans="1:20">
      <c r="A461">
        <v>460</v>
      </c>
      <c r="B461" s="14">
        <v>45668</v>
      </c>
      <c r="C461" t="s">
        <v>20</v>
      </c>
      <c r="D461" t="s">
        <v>34</v>
      </c>
      <c r="E461" t="s">
        <v>109</v>
      </c>
      <c r="F461" t="s">
        <v>36</v>
      </c>
      <c r="H461" t="s">
        <v>25</v>
      </c>
      <c r="I461" t="s">
        <v>74</v>
      </c>
      <c r="J461" t="s">
        <v>63</v>
      </c>
      <c r="K461">
        <v>13</v>
      </c>
      <c r="L461">
        <v>29.87</v>
      </c>
      <c r="M461">
        <v>5</v>
      </c>
      <c r="O461" t="s">
        <v>28</v>
      </c>
      <c r="P461" t="s">
        <v>29</v>
      </c>
      <c r="Q461" t="s">
        <v>65</v>
      </c>
      <c r="S461">
        <v>3</v>
      </c>
      <c r="T461" t="s">
        <v>32</v>
      </c>
    </row>
    <row r="462" spans="1:18">
      <c r="A462">
        <v>461</v>
      </c>
      <c r="B462" s="14">
        <v>45703</v>
      </c>
      <c r="C462" t="s">
        <v>60</v>
      </c>
      <c r="D462" t="s">
        <v>66</v>
      </c>
      <c r="E462" t="s">
        <v>100</v>
      </c>
      <c r="F462" t="s">
        <v>44</v>
      </c>
      <c r="G462" t="s">
        <v>88</v>
      </c>
      <c r="H462" t="s">
        <v>37</v>
      </c>
      <c r="I462" t="s">
        <v>38</v>
      </c>
      <c r="J462" t="s">
        <v>63</v>
      </c>
      <c r="K462">
        <v>44</v>
      </c>
      <c r="L462">
        <v>51.94</v>
      </c>
      <c r="M462">
        <v>5</v>
      </c>
      <c r="O462" t="s">
        <v>40</v>
      </c>
      <c r="P462" t="s">
        <v>64</v>
      </c>
      <c r="Q462" t="s">
        <v>41</v>
      </c>
      <c r="R462" t="s">
        <v>42</v>
      </c>
    </row>
    <row r="463" spans="1:19">
      <c r="A463">
        <v>462</v>
      </c>
      <c r="B463" s="14">
        <v>45853</v>
      </c>
      <c r="C463" t="s">
        <v>50</v>
      </c>
      <c r="D463" t="s">
        <v>83</v>
      </c>
      <c r="E463" t="s">
        <v>110</v>
      </c>
      <c r="F463" t="s">
        <v>36</v>
      </c>
      <c r="G463" t="s">
        <v>24</v>
      </c>
      <c r="H463" t="s">
        <v>46</v>
      </c>
      <c r="I463" t="s">
        <v>26</v>
      </c>
      <c r="J463" t="s">
        <v>63</v>
      </c>
      <c r="K463">
        <v>12</v>
      </c>
      <c r="L463">
        <v>43.81</v>
      </c>
      <c r="M463">
        <v>5</v>
      </c>
      <c r="O463" t="s">
        <v>28</v>
      </c>
      <c r="P463" t="s">
        <v>75</v>
      </c>
      <c r="Q463" t="s">
        <v>41</v>
      </c>
      <c r="R463" t="s">
        <v>31</v>
      </c>
      <c r="S463">
        <v>5</v>
      </c>
    </row>
    <row r="464" spans="1:20">
      <c r="A464">
        <v>463</v>
      </c>
      <c r="B464" s="14">
        <v>45785</v>
      </c>
      <c r="C464" t="s">
        <v>60</v>
      </c>
      <c r="D464" t="s">
        <v>34</v>
      </c>
      <c r="E464" t="s">
        <v>69</v>
      </c>
      <c r="G464" t="s">
        <v>81</v>
      </c>
      <c r="H464" t="s">
        <v>58</v>
      </c>
      <c r="I464" t="s">
        <v>74</v>
      </c>
      <c r="J464" t="s">
        <v>63</v>
      </c>
      <c r="K464">
        <v>9</v>
      </c>
      <c r="L464">
        <v>87.79</v>
      </c>
      <c r="M464">
        <v>15</v>
      </c>
      <c r="O464" t="s">
        <v>40</v>
      </c>
      <c r="P464" t="s">
        <v>29</v>
      </c>
      <c r="Q464" t="s">
        <v>65</v>
      </c>
      <c r="S464">
        <v>5</v>
      </c>
      <c r="T464" t="s">
        <v>49</v>
      </c>
    </row>
    <row r="465" spans="1:19">
      <c r="A465">
        <v>464</v>
      </c>
      <c r="B465" s="14">
        <v>45695</v>
      </c>
      <c r="C465" t="s">
        <v>20</v>
      </c>
      <c r="D465" t="s">
        <v>34</v>
      </c>
      <c r="E465" t="s">
        <v>117</v>
      </c>
      <c r="F465" t="s">
        <v>44</v>
      </c>
      <c r="G465" t="s">
        <v>45</v>
      </c>
      <c r="H465" t="s">
        <v>25</v>
      </c>
      <c r="I465" t="s">
        <v>38</v>
      </c>
      <c r="J465" t="s">
        <v>48</v>
      </c>
      <c r="K465">
        <v>39</v>
      </c>
      <c r="L465">
        <v>94.24</v>
      </c>
      <c r="O465" t="s">
        <v>28</v>
      </c>
      <c r="P465" t="s">
        <v>71</v>
      </c>
      <c r="Q465" t="s">
        <v>41</v>
      </c>
      <c r="S465">
        <v>5</v>
      </c>
    </row>
    <row r="466" spans="1:19">
      <c r="A466">
        <v>465</v>
      </c>
      <c r="B466" s="14">
        <v>45812</v>
      </c>
      <c r="C466" t="s">
        <v>85</v>
      </c>
      <c r="D466" t="s">
        <v>51</v>
      </c>
      <c r="E466" t="s">
        <v>116</v>
      </c>
      <c r="F466" t="s">
        <v>91</v>
      </c>
      <c r="G466" t="s">
        <v>68</v>
      </c>
      <c r="H466" t="s">
        <v>58</v>
      </c>
      <c r="I466" t="s">
        <v>47</v>
      </c>
      <c r="J466" t="s">
        <v>39</v>
      </c>
      <c r="K466">
        <v>17</v>
      </c>
      <c r="L466">
        <v>21.14</v>
      </c>
      <c r="M466">
        <v>15</v>
      </c>
      <c r="O466" t="s">
        <v>54</v>
      </c>
      <c r="P466" t="s">
        <v>29</v>
      </c>
      <c r="Q466" t="s">
        <v>76</v>
      </c>
      <c r="R466" t="s">
        <v>31</v>
      </c>
      <c r="S466">
        <v>3</v>
      </c>
    </row>
    <row r="467" spans="1:19">
      <c r="A467">
        <v>466</v>
      </c>
      <c r="B467" s="14">
        <v>45730</v>
      </c>
      <c r="C467" t="s">
        <v>60</v>
      </c>
      <c r="D467" t="s">
        <v>21</v>
      </c>
      <c r="E467" t="s">
        <v>108</v>
      </c>
      <c r="F467" t="s">
        <v>44</v>
      </c>
      <c r="G467" t="s">
        <v>24</v>
      </c>
      <c r="H467" t="s">
        <v>73</v>
      </c>
      <c r="I467" t="s">
        <v>53</v>
      </c>
      <c r="J467" t="s">
        <v>48</v>
      </c>
      <c r="K467">
        <v>28</v>
      </c>
      <c r="L467">
        <v>31.88</v>
      </c>
      <c r="M467">
        <v>10</v>
      </c>
      <c r="O467" t="s">
        <v>54</v>
      </c>
      <c r="P467" t="s">
        <v>75</v>
      </c>
      <c r="Q467" t="s">
        <v>65</v>
      </c>
      <c r="R467" t="s">
        <v>31</v>
      </c>
      <c r="S467">
        <v>3</v>
      </c>
    </row>
    <row r="468" spans="1:19">
      <c r="A468">
        <v>467</v>
      </c>
      <c r="B468" s="14">
        <v>45735</v>
      </c>
      <c r="C468" t="s">
        <v>33</v>
      </c>
      <c r="D468" t="s">
        <v>61</v>
      </c>
      <c r="E468" t="s">
        <v>112</v>
      </c>
      <c r="G468" t="s">
        <v>81</v>
      </c>
      <c r="H468" t="s">
        <v>58</v>
      </c>
      <c r="I468" t="s">
        <v>26</v>
      </c>
      <c r="J468" t="s">
        <v>39</v>
      </c>
      <c r="K468">
        <v>4</v>
      </c>
      <c r="L468">
        <v>26.84</v>
      </c>
      <c r="M468">
        <v>0</v>
      </c>
      <c r="O468" t="s">
        <v>59</v>
      </c>
      <c r="P468" t="s">
        <v>75</v>
      </c>
      <c r="Q468" t="s">
        <v>76</v>
      </c>
      <c r="S468">
        <v>4</v>
      </c>
    </row>
    <row r="469" spans="1:20">
      <c r="A469">
        <v>468</v>
      </c>
      <c r="B469" s="14">
        <v>45717</v>
      </c>
      <c r="C469" t="s">
        <v>85</v>
      </c>
      <c r="D469" t="s">
        <v>21</v>
      </c>
      <c r="E469" t="s">
        <v>80</v>
      </c>
      <c r="F469" t="s">
        <v>23</v>
      </c>
      <c r="H469" t="s">
        <v>37</v>
      </c>
      <c r="I469" t="s">
        <v>38</v>
      </c>
      <c r="J469" t="s">
        <v>63</v>
      </c>
      <c r="K469">
        <v>32</v>
      </c>
      <c r="L469">
        <v>15.69</v>
      </c>
      <c r="M469">
        <v>5</v>
      </c>
      <c r="O469" t="s">
        <v>28</v>
      </c>
      <c r="P469" t="s">
        <v>75</v>
      </c>
      <c r="Q469" t="s">
        <v>30</v>
      </c>
      <c r="R469" t="s">
        <v>31</v>
      </c>
      <c r="S469">
        <v>3</v>
      </c>
      <c r="T469" t="s">
        <v>32</v>
      </c>
    </row>
    <row r="470" spans="1:18">
      <c r="A470">
        <v>469</v>
      </c>
      <c r="B470" s="14">
        <v>45744</v>
      </c>
      <c r="C470" t="s">
        <v>55</v>
      </c>
      <c r="D470" t="s">
        <v>34</v>
      </c>
      <c r="E470" t="s">
        <v>86</v>
      </c>
      <c r="F470" t="s">
        <v>36</v>
      </c>
      <c r="H470" t="s">
        <v>37</v>
      </c>
      <c r="I470" t="s">
        <v>26</v>
      </c>
      <c r="J470" t="s">
        <v>27</v>
      </c>
      <c r="K470">
        <v>34</v>
      </c>
      <c r="L470">
        <v>77.85</v>
      </c>
      <c r="M470">
        <v>5</v>
      </c>
      <c r="O470" t="s">
        <v>59</v>
      </c>
      <c r="P470" t="s">
        <v>71</v>
      </c>
      <c r="Q470" t="s">
        <v>76</v>
      </c>
      <c r="R470" t="s">
        <v>42</v>
      </c>
    </row>
    <row r="471" spans="1:19">
      <c r="A471">
        <v>470</v>
      </c>
      <c r="B471" s="14">
        <v>45826</v>
      </c>
      <c r="C471" t="s">
        <v>20</v>
      </c>
      <c r="D471" t="s">
        <v>56</v>
      </c>
      <c r="E471" t="s">
        <v>69</v>
      </c>
      <c r="G471" t="s">
        <v>88</v>
      </c>
      <c r="H471" t="s">
        <v>73</v>
      </c>
      <c r="I471" t="s">
        <v>53</v>
      </c>
      <c r="J471" t="s">
        <v>27</v>
      </c>
      <c r="K471">
        <v>21</v>
      </c>
      <c r="L471">
        <v>19.61</v>
      </c>
      <c r="M471">
        <v>0</v>
      </c>
      <c r="O471" t="s">
        <v>59</v>
      </c>
      <c r="P471" t="s">
        <v>29</v>
      </c>
      <c r="Q471" t="s">
        <v>65</v>
      </c>
      <c r="S471">
        <v>3</v>
      </c>
    </row>
    <row r="472" spans="1:19">
      <c r="A472">
        <v>471</v>
      </c>
      <c r="B472" s="14">
        <v>45826</v>
      </c>
      <c r="C472" t="s">
        <v>20</v>
      </c>
      <c r="D472" t="s">
        <v>51</v>
      </c>
      <c r="E472" t="s">
        <v>123</v>
      </c>
      <c r="F472" t="s">
        <v>70</v>
      </c>
      <c r="G472" t="s">
        <v>45</v>
      </c>
      <c r="H472" t="s">
        <v>37</v>
      </c>
      <c r="I472" t="s">
        <v>26</v>
      </c>
      <c r="J472" t="s">
        <v>39</v>
      </c>
      <c r="K472">
        <v>4</v>
      </c>
      <c r="L472">
        <v>81.15</v>
      </c>
      <c r="M472">
        <v>10</v>
      </c>
      <c r="O472" t="s">
        <v>54</v>
      </c>
      <c r="P472" t="s">
        <v>71</v>
      </c>
      <c r="Q472" t="s">
        <v>30</v>
      </c>
      <c r="S472">
        <v>5</v>
      </c>
    </row>
    <row r="473" spans="1:19">
      <c r="A473">
        <v>472</v>
      </c>
      <c r="B473" s="14">
        <v>45705</v>
      </c>
      <c r="C473" t="s">
        <v>85</v>
      </c>
      <c r="D473" t="s">
        <v>56</v>
      </c>
      <c r="E473" t="s">
        <v>92</v>
      </c>
      <c r="F473" t="s">
        <v>91</v>
      </c>
      <c r="G473" t="s">
        <v>81</v>
      </c>
      <c r="H473" t="s">
        <v>58</v>
      </c>
      <c r="I473" t="s">
        <v>74</v>
      </c>
      <c r="J473" t="s">
        <v>39</v>
      </c>
      <c r="K473">
        <v>11</v>
      </c>
      <c r="L473">
        <v>41.91</v>
      </c>
      <c r="M473">
        <v>15</v>
      </c>
      <c r="O473" t="s">
        <v>54</v>
      </c>
      <c r="P473" t="s">
        <v>64</v>
      </c>
      <c r="Q473" t="s">
        <v>30</v>
      </c>
      <c r="R473" t="s">
        <v>42</v>
      </c>
      <c r="S473">
        <v>4</v>
      </c>
    </row>
    <row r="474" spans="1:20">
      <c r="A474">
        <v>473</v>
      </c>
      <c r="B474" s="14">
        <v>45816</v>
      </c>
      <c r="C474" t="s">
        <v>55</v>
      </c>
      <c r="D474" t="s">
        <v>34</v>
      </c>
      <c r="E474" t="s">
        <v>89</v>
      </c>
      <c r="F474" t="s">
        <v>23</v>
      </c>
      <c r="H474" t="s">
        <v>58</v>
      </c>
      <c r="I474" t="s">
        <v>53</v>
      </c>
      <c r="J474" t="s">
        <v>39</v>
      </c>
      <c r="K474">
        <v>32</v>
      </c>
      <c r="L474">
        <v>47.32</v>
      </c>
      <c r="M474">
        <v>15</v>
      </c>
      <c r="O474" t="s">
        <v>59</v>
      </c>
      <c r="P474" t="s">
        <v>75</v>
      </c>
      <c r="Q474" t="s">
        <v>65</v>
      </c>
      <c r="R474" t="s">
        <v>31</v>
      </c>
      <c r="S474">
        <v>4</v>
      </c>
      <c r="T474" t="s">
        <v>49</v>
      </c>
    </row>
    <row r="475" spans="1:19">
      <c r="A475">
        <v>474</v>
      </c>
      <c r="B475" s="14">
        <v>45972</v>
      </c>
      <c r="C475" t="s">
        <v>50</v>
      </c>
      <c r="D475" t="s">
        <v>83</v>
      </c>
      <c r="E475" t="s">
        <v>104</v>
      </c>
      <c r="F475" t="s">
        <v>70</v>
      </c>
      <c r="G475" t="s">
        <v>88</v>
      </c>
      <c r="H475" t="s">
        <v>58</v>
      </c>
      <c r="I475" t="s">
        <v>47</v>
      </c>
      <c r="J475" t="s">
        <v>48</v>
      </c>
      <c r="K475">
        <v>30</v>
      </c>
      <c r="L475">
        <v>69.26</v>
      </c>
      <c r="M475">
        <v>5</v>
      </c>
      <c r="O475" t="s">
        <v>59</v>
      </c>
      <c r="P475" t="s">
        <v>71</v>
      </c>
      <c r="Q475" t="s">
        <v>41</v>
      </c>
      <c r="R475" t="s">
        <v>42</v>
      </c>
      <c r="S475">
        <v>4</v>
      </c>
    </row>
    <row r="476" spans="1:19">
      <c r="A476">
        <v>475</v>
      </c>
      <c r="B476" s="14">
        <v>45902</v>
      </c>
      <c r="C476" t="s">
        <v>60</v>
      </c>
      <c r="D476" t="s">
        <v>66</v>
      </c>
      <c r="E476" t="s">
        <v>89</v>
      </c>
      <c r="G476" t="s">
        <v>45</v>
      </c>
      <c r="H476" t="s">
        <v>25</v>
      </c>
      <c r="I476" t="s">
        <v>47</v>
      </c>
      <c r="J476" t="s">
        <v>63</v>
      </c>
      <c r="K476">
        <v>19</v>
      </c>
      <c r="L476">
        <v>59.01</v>
      </c>
      <c r="O476" t="s">
        <v>28</v>
      </c>
      <c r="P476" t="s">
        <v>71</v>
      </c>
      <c r="Q476" t="s">
        <v>30</v>
      </c>
      <c r="S476">
        <v>4</v>
      </c>
    </row>
    <row r="477" spans="1:19">
      <c r="A477">
        <v>476</v>
      </c>
      <c r="B477" s="14">
        <v>45706</v>
      </c>
      <c r="C477" t="s">
        <v>85</v>
      </c>
      <c r="D477" t="s">
        <v>51</v>
      </c>
      <c r="E477" t="s">
        <v>113</v>
      </c>
      <c r="F477" t="s">
        <v>36</v>
      </c>
      <c r="G477" t="s">
        <v>45</v>
      </c>
      <c r="H477" t="s">
        <v>46</v>
      </c>
      <c r="I477" t="s">
        <v>53</v>
      </c>
      <c r="J477" t="s">
        <v>27</v>
      </c>
      <c r="K477">
        <v>50</v>
      </c>
      <c r="L477">
        <v>52.83</v>
      </c>
      <c r="M477">
        <v>0</v>
      </c>
      <c r="O477" t="s">
        <v>59</v>
      </c>
      <c r="P477" t="s">
        <v>64</v>
      </c>
      <c r="Q477" t="s">
        <v>76</v>
      </c>
      <c r="R477" t="s">
        <v>42</v>
      </c>
      <c r="S477">
        <v>1</v>
      </c>
    </row>
    <row r="478" spans="1:20">
      <c r="A478">
        <v>477</v>
      </c>
      <c r="B478" s="14">
        <v>45871</v>
      </c>
      <c r="C478" t="s">
        <v>55</v>
      </c>
      <c r="D478" t="s">
        <v>56</v>
      </c>
      <c r="E478" t="s">
        <v>108</v>
      </c>
      <c r="F478" t="s">
        <v>36</v>
      </c>
      <c r="H478" t="s">
        <v>73</v>
      </c>
      <c r="I478" t="s">
        <v>38</v>
      </c>
      <c r="J478" t="s">
        <v>48</v>
      </c>
      <c r="K478">
        <v>22</v>
      </c>
      <c r="L478">
        <v>96.84</v>
      </c>
      <c r="M478">
        <v>5</v>
      </c>
      <c r="O478" t="s">
        <v>40</v>
      </c>
      <c r="P478" t="s">
        <v>64</v>
      </c>
      <c r="Q478" t="s">
        <v>30</v>
      </c>
      <c r="S478">
        <v>5</v>
      </c>
      <c r="T478" t="s">
        <v>49</v>
      </c>
    </row>
    <row r="479" spans="1:20">
      <c r="A479">
        <v>478</v>
      </c>
      <c r="B479" s="14">
        <v>46002</v>
      </c>
      <c r="C479" t="s">
        <v>20</v>
      </c>
      <c r="D479" t="s">
        <v>83</v>
      </c>
      <c r="E479" t="s">
        <v>121</v>
      </c>
      <c r="F479" t="s">
        <v>44</v>
      </c>
      <c r="G479" t="s">
        <v>88</v>
      </c>
      <c r="H479" t="s">
        <v>73</v>
      </c>
      <c r="I479" t="s">
        <v>74</v>
      </c>
      <c r="J479" t="s">
        <v>27</v>
      </c>
      <c r="K479">
        <v>11</v>
      </c>
      <c r="L479">
        <v>67.3</v>
      </c>
      <c r="M479">
        <v>15</v>
      </c>
      <c r="O479" t="s">
        <v>59</v>
      </c>
      <c r="P479" t="s">
        <v>29</v>
      </c>
      <c r="Q479" t="s">
        <v>41</v>
      </c>
      <c r="S479">
        <v>5</v>
      </c>
      <c r="T479" t="s">
        <v>49</v>
      </c>
    </row>
    <row r="480" spans="1:20">
      <c r="A480">
        <v>479</v>
      </c>
      <c r="B480" s="14">
        <v>46011</v>
      </c>
      <c r="C480" t="s">
        <v>55</v>
      </c>
      <c r="D480" t="s">
        <v>51</v>
      </c>
      <c r="E480" t="s">
        <v>69</v>
      </c>
      <c r="F480" t="s">
        <v>70</v>
      </c>
      <c r="G480" t="s">
        <v>45</v>
      </c>
      <c r="H480" t="s">
        <v>58</v>
      </c>
      <c r="I480" t="s">
        <v>26</v>
      </c>
      <c r="J480" t="s">
        <v>39</v>
      </c>
      <c r="K480">
        <v>1</v>
      </c>
      <c r="L480">
        <v>23.13</v>
      </c>
      <c r="M480">
        <v>0</v>
      </c>
      <c r="O480" t="s">
        <v>40</v>
      </c>
      <c r="P480" t="s">
        <v>71</v>
      </c>
      <c r="Q480" t="s">
        <v>76</v>
      </c>
      <c r="R480" t="s">
        <v>42</v>
      </c>
      <c r="T480" t="s">
        <v>32</v>
      </c>
    </row>
    <row r="481" spans="1:17">
      <c r="A481">
        <v>480</v>
      </c>
      <c r="B481" s="14">
        <v>45990</v>
      </c>
      <c r="C481" t="s">
        <v>50</v>
      </c>
      <c r="D481" t="s">
        <v>83</v>
      </c>
      <c r="E481" t="s">
        <v>104</v>
      </c>
      <c r="F481" t="s">
        <v>36</v>
      </c>
      <c r="G481" t="s">
        <v>24</v>
      </c>
      <c r="H481" t="s">
        <v>58</v>
      </c>
      <c r="I481" t="s">
        <v>53</v>
      </c>
      <c r="J481" t="s">
        <v>63</v>
      </c>
      <c r="K481">
        <v>10</v>
      </c>
      <c r="L481">
        <v>50.03</v>
      </c>
      <c r="M481">
        <v>0</v>
      </c>
      <c r="O481" t="s">
        <v>28</v>
      </c>
      <c r="P481" t="s">
        <v>64</v>
      </c>
      <c r="Q481" t="s">
        <v>76</v>
      </c>
    </row>
    <row r="482" spans="1:20">
      <c r="A482">
        <v>481</v>
      </c>
      <c r="B482" s="14">
        <v>45906</v>
      </c>
      <c r="C482" t="s">
        <v>85</v>
      </c>
      <c r="D482" t="s">
        <v>21</v>
      </c>
      <c r="E482" t="s">
        <v>80</v>
      </c>
      <c r="F482" t="s">
        <v>36</v>
      </c>
      <c r="G482" t="s">
        <v>24</v>
      </c>
      <c r="H482" t="s">
        <v>25</v>
      </c>
      <c r="I482" t="s">
        <v>53</v>
      </c>
      <c r="J482" t="s">
        <v>63</v>
      </c>
      <c r="K482">
        <v>4</v>
      </c>
      <c r="L482">
        <v>36.72</v>
      </c>
      <c r="M482">
        <v>0</v>
      </c>
      <c r="O482" t="s">
        <v>59</v>
      </c>
      <c r="P482" t="s">
        <v>29</v>
      </c>
      <c r="Q482" t="s">
        <v>65</v>
      </c>
      <c r="S482">
        <v>5</v>
      </c>
      <c r="T482" t="s">
        <v>49</v>
      </c>
    </row>
    <row r="483" spans="1:18">
      <c r="A483">
        <v>482</v>
      </c>
      <c r="B483" s="14">
        <v>45676</v>
      </c>
      <c r="C483" t="s">
        <v>85</v>
      </c>
      <c r="D483" t="s">
        <v>83</v>
      </c>
      <c r="E483" t="s">
        <v>105</v>
      </c>
      <c r="F483" t="s">
        <v>36</v>
      </c>
      <c r="G483" t="s">
        <v>68</v>
      </c>
      <c r="H483" t="s">
        <v>37</v>
      </c>
      <c r="I483" t="s">
        <v>38</v>
      </c>
      <c r="J483" t="s">
        <v>39</v>
      </c>
      <c r="K483">
        <v>46</v>
      </c>
      <c r="L483">
        <v>10.77</v>
      </c>
      <c r="M483">
        <v>0</v>
      </c>
      <c r="O483" t="s">
        <v>59</v>
      </c>
      <c r="P483" t="s">
        <v>75</v>
      </c>
      <c r="Q483" t="s">
        <v>30</v>
      </c>
      <c r="R483" t="s">
        <v>42</v>
      </c>
    </row>
    <row r="484" spans="1:20">
      <c r="A484">
        <v>483</v>
      </c>
      <c r="B484" s="14">
        <v>45900</v>
      </c>
      <c r="C484" t="s">
        <v>20</v>
      </c>
      <c r="D484" t="s">
        <v>83</v>
      </c>
      <c r="E484" t="s">
        <v>123</v>
      </c>
      <c r="G484" t="s">
        <v>45</v>
      </c>
      <c r="H484" t="s">
        <v>73</v>
      </c>
      <c r="I484" t="s">
        <v>38</v>
      </c>
      <c r="J484" t="s">
        <v>27</v>
      </c>
      <c r="K484">
        <v>11</v>
      </c>
      <c r="L484">
        <v>32.36</v>
      </c>
      <c r="M484">
        <v>5</v>
      </c>
      <c r="O484" t="s">
        <v>59</v>
      </c>
      <c r="P484" t="s">
        <v>75</v>
      </c>
      <c r="Q484" t="s">
        <v>65</v>
      </c>
      <c r="R484" t="s">
        <v>31</v>
      </c>
      <c r="S484">
        <v>5</v>
      </c>
      <c r="T484" t="s">
        <v>32</v>
      </c>
    </row>
    <row r="485" spans="1:20">
      <c r="A485">
        <v>484</v>
      </c>
      <c r="B485" s="14">
        <v>45958</v>
      </c>
      <c r="C485" t="s">
        <v>55</v>
      </c>
      <c r="D485" t="s">
        <v>56</v>
      </c>
      <c r="E485" t="s">
        <v>95</v>
      </c>
      <c r="H485" t="s">
        <v>73</v>
      </c>
      <c r="I485" t="s">
        <v>26</v>
      </c>
      <c r="J485" t="s">
        <v>48</v>
      </c>
      <c r="K485">
        <v>47</v>
      </c>
      <c r="L485">
        <v>72.58</v>
      </c>
      <c r="M485">
        <v>15</v>
      </c>
      <c r="O485" t="s">
        <v>54</v>
      </c>
      <c r="P485" t="s">
        <v>29</v>
      </c>
      <c r="Q485" t="s">
        <v>76</v>
      </c>
      <c r="S485">
        <v>2</v>
      </c>
      <c r="T485" t="s">
        <v>49</v>
      </c>
    </row>
    <row r="486" spans="1:19">
      <c r="A486">
        <v>485</v>
      </c>
      <c r="B486" s="14">
        <v>46011</v>
      </c>
      <c r="C486" t="s">
        <v>55</v>
      </c>
      <c r="D486" t="s">
        <v>21</v>
      </c>
      <c r="E486" t="s">
        <v>112</v>
      </c>
      <c r="F486" t="s">
        <v>70</v>
      </c>
      <c r="G486" t="s">
        <v>24</v>
      </c>
      <c r="H486" t="s">
        <v>25</v>
      </c>
      <c r="I486" t="s">
        <v>26</v>
      </c>
      <c r="J486" t="s">
        <v>39</v>
      </c>
      <c r="K486">
        <v>39</v>
      </c>
      <c r="L486">
        <v>51.76</v>
      </c>
      <c r="M486">
        <v>15</v>
      </c>
      <c r="O486" t="s">
        <v>59</v>
      </c>
      <c r="P486" t="s">
        <v>75</v>
      </c>
      <c r="Q486" t="s">
        <v>76</v>
      </c>
      <c r="R486" t="s">
        <v>31</v>
      </c>
      <c r="S486">
        <v>5</v>
      </c>
    </row>
    <row r="487" spans="1:20">
      <c r="A487">
        <v>486</v>
      </c>
      <c r="B487" s="14">
        <v>45667</v>
      </c>
      <c r="C487" t="s">
        <v>60</v>
      </c>
      <c r="D487" t="s">
        <v>56</v>
      </c>
      <c r="E487" t="s">
        <v>84</v>
      </c>
      <c r="G487" t="s">
        <v>24</v>
      </c>
      <c r="H487" t="s">
        <v>25</v>
      </c>
      <c r="I487" t="s">
        <v>47</v>
      </c>
      <c r="J487" t="s">
        <v>27</v>
      </c>
      <c r="K487">
        <v>5</v>
      </c>
      <c r="L487">
        <v>37.08</v>
      </c>
      <c r="M487">
        <v>0</v>
      </c>
      <c r="O487" t="s">
        <v>40</v>
      </c>
      <c r="P487" t="s">
        <v>71</v>
      </c>
      <c r="Q487" t="s">
        <v>76</v>
      </c>
      <c r="R487" t="s">
        <v>42</v>
      </c>
      <c r="S487">
        <v>3</v>
      </c>
      <c r="T487" t="s">
        <v>49</v>
      </c>
    </row>
    <row r="488" spans="1:19">
      <c r="A488">
        <v>487</v>
      </c>
      <c r="B488" s="14">
        <v>45839</v>
      </c>
      <c r="C488" t="s">
        <v>77</v>
      </c>
      <c r="D488" t="s">
        <v>21</v>
      </c>
      <c r="E488" t="s">
        <v>62</v>
      </c>
      <c r="F488" t="s">
        <v>36</v>
      </c>
      <c r="G488" t="s">
        <v>45</v>
      </c>
      <c r="H488" t="s">
        <v>25</v>
      </c>
      <c r="I488" t="s">
        <v>47</v>
      </c>
      <c r="J488" t="s">
        <v>27</v>
      </c>
      <c r="K488">
        <v>46</v>
      </c>
      <c r="L488">
        <v>9.79</v>
      </c>
      <c r="M488">
        <v>15</v>
      </c>
      <c r="O488" t="s">
        <v>59</v>
      </c>
      <c r="P488" t="s">
        <v>71</v>
      </c>
      <c r="Q488" t="s">
        <v>30</v>
      </c>
      <c r="S488">
        <v>5</v>
      </c>
    </row>
    <row r="489" spans="1:20">
      <c r="A489">
        <v>488</v>
      </c>
      <c r="B489" s="14">
        <v>45945</v>
      </c>
      <c r="C489" t="s">
        <v>20</v>
      </c>
      <c r="D489" t="s">
        <v>34</v>
      </c>
      <c r="E489" t="s">
        <v>106</v>
      </c>
      <c r="F489" t="s">
        <v>91</v>
      </c>
      <c r="H489" t="s">
        <v>58</v>
      </c>
      <c r="I489" t="s">
        <v>26</v>
      </c>
      <c r="J489" t="s">
        <v>48</v>
      </c>
      <c r="K489">
        <v>11</v>
      </c>
      <c r="L489">
        <v>74.19</v>
      </c>
      <c r="M489">
        <v>15</v>
      </c>
      <c r="O489" t="s">
        <v>59</v>
      </c>
      <c r="P489" t="s">
        <v>71</v>
      </c>
      <c r="Q489" t="s">
        <v>76</v>
      </c>
      <c r="S489">
        <v>3</v>
      </c>
      <c r="T489" t="s">
        <v>49</v>
      </c>
    </row>
    <row r="490" spans="1:20">
      <c r="A490">
        <v>489</v>
      </c>
      <c r="B490" s="14">
        <v>45728</v>
      </c>
      <c r="C490" t="s">
        <v>20</v>
      </c>
      <c r="D490" t="s">
        <v>61</v>
      </c>
      <c r="E490" t="s">
        <v>101</v>
      </c>
      <c r="F490" t="s">
        <v>70</v>
      </c>
      <c r="G490" t="s">
        <v>81</v>
      </c>
      <c r="H490" t="s">
        <v>58</v>
      </c>
      <c r="I490" t="s">
        <v>26</v>
      </c>
      <c r="J490" t="s">
        <v>63</v>
      </c>
      <c r="K490">
        <v>22</v>
      </c>
      <c r="L490">
        <v>32.24</v>
      </c>
      <c r="M490">
        <v>5</v>
      </c>
      <c r="O490" t="s">
        <v>28</v>
      </c>
      <c r="P490" t="s">
        <v>75</v>
      </c>
      <c r="Q490" t="s">
        <v>41</v>
      </c>
      <c r="S490">
        <v>4</v>
      </c>
      <c r="T490" t="s">
        <v>49</v>
      </c>
    </row>
    <row r="491" spans="1:19">
      <c r="A491">
        <v>490</v>
      </c>
      <c r="B491" s="14">
        <v>45980</v>
      </c>
      <c r="C491" t="s">
        <v>55</v>
      </c>
      <c r="D491" t="s">
        <v>66</v>
      </c>
      <c r="E491" t="s">
        <v>90</v>
      </c>
      <c r="F491" t="s">
        <v>36</v>
      </c>
      <c r="G491" t="s">
        <v>81</v>
      </c>
      <c r="H491" t="s">
        <v>25</v>
      </c>
      <c r="I491" t="s">
        <v>26</v>
      </c>
      <c r="J491" t="s">
        <v>63</v>
      </c>
      <c r="K491">
        <v>27</v>
      </c>
      <c r="L491">
        <v>92.21</v>
      </c>
      <c r="M491">
        <v>15</v>
      </c>
      <c r="O491" t="s">
        <v>54</v>
      </c>
      <c r="P491" t="s">
        <v>71</v>
      </c>
      <c r="Q491" t="s">
        <v>65</v>
      </c>
      <c r="R491" t="s">
        <v>31</v>
      </c>
      <c r="S491">
        <v>1</v>
      </c>
    </row>
    <row r="492" spans="1:20">
      <c r="A492">
        <v>491</v>
      </c>
      <c r="B492" s="14">
        <v>45701</v>
      </c>
      <c r="C492" t="s">
        <v>60</v>
      </c>
      <c r="D492" t="s">
        <v>56</v>
      </c>
      <c r="E492" t="s">
        <v>87</v>
      </c>
      <c r="F492" t="s">
        <v>91</v>
      </c>
      <c r="G492" t="s">
        <v>81</v>
      </c>
      <c r="H492" t="s">
        <v>58</v>
      </c>
      <c r="I492" t="s">
        <v>38</v>
      </c>
      <c r="J492" t="s">
        <v>27</v>
      </c>
      <c r="K492">
        <v>43</v>
      </c>
      <c r="L492">
        <v>92.64</v>
      </c>
      <c r="M492">
        <v>5</v>
      </c>
      <c r="O492" t="s">
        <v>28</v>
      </c>
      <c r="P492" t="s">
        <v>75</v>
      </c>
      <c r="Q492" t="s">
        <v>65</v>
      </c>
      <c r="R492" t="s">
        <v>42</v>
      </c>
      <c r="T492" t="s">
        <v>49</v>
      </c>
    </row>
    <row r="493" spans="1:19">
      <c r="A493">
        <v>492</v>
      </c>
      <c r="B493" s="14">
        <v>45818</v>
      </c>
      <c r="C493" t="s">
        <v>60</v>
      </c>
      <c r="D493" t="s">
        <v>21</v>
      </c>
      <c r="E493" t="s">
        <v>86</v>
      </c>
      <c r="F493" t="s">
        <v>36</v>
      </c>
      <c r="G493" t="s">
        <v>68</v>
      </c>
      <c r="H493" t="s">
        <v>25</v>
      </c>
      <c r="I493" t="s">
        <v>38</v>
      </c>
      <c r="J493" t="s">
        <v>63</v>
      </c>
      <c r="K493">
        <v>42</v>
      </c>
      <c r="L493">
        <v>24.49</v>
      </c>
      <c r="O493" t="s">
        <v>59</v>
      </c>
      <c r="P493" t="s">
        <v>75</v>
      </c>
      <c r="Q493" t="s">
        <v>65</v>
      </c>
      <c r="R493" t="s">
        <v>31</v>
      </c>
      <c r="S493">
        <v>3</v>
      </c>
    </row>
    <row r="494" spans="1:20">
      <c r="A494">
        <v>493</v>
      </c>
      <c r="B494" s="14">
        <v>45676</v>
      </c>
      <c r="C494" t="s">
        <v>33</v>
      </c>
      <c r="D494" t="s">
        <v>56</v>
      </c>
      <c r="E494" t="s">
        <v>43</v>
      </c>
      <c r="H494" t="s">
        <v>25</v>
      </c>
      <c r="I494" t="s">
        <v>47</v>
      </c>
      <c r="J494" t="s">
        <v>48</v>
      </c>
      <c r="K494">
        <v>14</v>
      </c>
      <c r="L494">
        <v>13.82</v>
      </c>
      <c r="O494" t="s">
        <v>54</v>
      </c>
      <c r="P494" t="s">
        <v>75</v>
      </c>
      <c r="Q494" t="s">
        <v>76</v>
      </c>
      <c r="R494" t="s">
        <v>31</v>
      </c>
      <c r="S494">
        <v>1</v>
      </c>
      <c r="T494" t="s">
        <v>49</v>
      </c>
    </row>
    <row r="495" spans="1:19">
      <c r="A495">
        <v>494</v>
      </c>
      <c r="B495" s="14">
        <v>45781</v>
      </c>
      <c r="C495" t="s">
        <v>77</v>
      </c>
      <c r="D495" t="s">
        <v>61</v>
      </c>
      <c r="E495" t="s">
        <v>114</v>
      </c>
      <c r="G495" t="s">
        <v>81</v>
      </c>
      <c r="H495" t="s">
        <v>37</v>
      </c>
      <c r="I495" t="s">
        <v>74</v>
      </c>
      <c r="J495" t="s">
        <v>27</v>
      </c>
      <c r="K495">
        <v>24</v>
      </c>
      <c r="L495">
        <v>29.68</v>
      </c>
      <c r="O495" t="s">
        <v>54</v>
      </c>
      <c r="P495" t="s">
        <v>71</v>
      </c>
      <c r="Q495" t="s">
        <v>30</v>
      </c>
      <c r="S495">
        <v>1</v>
      </c>
    </row>
    <row r="496" spans="1:20">
      <c r="A496">
        <v>495</v>
      </c>
      <c r="B496" s="14">
        <v>45810</v>
      </c>
      <c r="C496" t="s">
        <v>33</v>
      </c>
      <c r="D496" t="s">
        <v>51</v>
      </c>
      <c r="E496" t="s">
        <v>78</v>
      </c>
      <c r="F496" t="s">
        <v>70</v>
      </c>
      <c r="G496" t="s">
        <v>45</v>
      </c>
      <c r="H496" t="s">
        <v>25</v>
      </c>
      <c r="I496" t="s">
        <v>47</v>
      </c>
      <c r="J496" t="s">
        <v>39</v>
      </c>
      <c r="K496">
        <v>23</v>
      </c>
      <c r="L496">
        <v>33.42</v>
      </c>
      <c r="O496" t="s">
        <v>40</v>
      </c>
      <c r="P496" t="s">
        <v>29</v>
      </c>
      <c r="Q496" t="s">
        <v>76</v>
      </c>
      <c r="R496" t="s">
        <v>31</v>
      </c>
      <c r="S496">
        <v>3</v>
      </c>
      <c r="T496" t="s">
        <v>32</v>
      </c>
    </row>
    <row r="497" spans="1:19">
      <c r="A497">
        <v>496</v>
      </c>
      <c r="B497" s="14">
        <v>45842</v>
      </c>
      <c r="C497" t="s">
        <v>85</v>
      </c>
      <c r="D497" t="s">
        <v>21</v>
      </c>
      <c r="E497" t="s">
        <v>90</v>
      </c>
      <c r="G497" t="s">
        <v>81</v>
      </c>
      <c r="H497" t="s">
        <v>73</v>
      </c>
      <c r="I497" t="s">
        <v>74</v>
      </c>
      <c r="J497" t="s">
        <v>27</v>
      </c>
      <c r="K497">
        <v>4</v>
      </c>
      <c r="L497">
        <v>45.36</v>
      </c>
      <c r="M497">
        <v>5</v>
      </c>
      <c r="O497" t="s">
        <v>59</v>
      </c>
      <c r="P497" t="s">
        <v>64</v>
      </c>
      <c r="Q497" t="s">
        <v>65</v>
      </c>
      <c r="R497" t="s">
        <v>31</v>
      </c>
      <c r="S497">
        <v>3</v>
      </c>
    </row>
    <row r="498" spans="1:19">
      <c r="A498">
        <v>497</v>
      </c>
      <c r="B498" s="14">
        <v>45959</v>
      </c>
      <c r="C498" t="s">
        <v>33</v>
      </c>
      <c r="D498" t="s">
        <v>34</v>
      </c>
      <c r="E498" t="s">
        <v>62</v>
      </c>
      <c r="F498" t="s">
        <v>70</v>
      </c>
      <c r="G498" t="s">
        <v>45</v>
      </c>
      <c r="H498" t="s">
        <v>37</v>
      </c>
      <c r="I498" t="s">
        <v>38</v>
      </c>
      <c r="J498" t="s">
        <v>63</v>
      </c>
      <c r="K498">
        <v>29</v>
      </c>
      <c r="L498">
        <v>70.46</v>
      </c>
      <c r="M498">
        <v>15</v>
      </c>
      <c r="O498" t="s">
        <v>59</v>
      </c>
      <c r="P498" t="s">
        <v>64</v>
      </c>
      <c r="Q498" t="s">
        <v>76</v>
      </c>
      <c r="S498">
        <v>2</v>
      </c>
    </row>
    <row r="499" spans="1:20">
      <c r="A499">
        <v>498</v>
      </c>
      <c r="B499" s="14">
        <v>46022</v>
      </c>
      <c r="C499" t="s">
        <v>85</v>
      </c>
      <c r="D499" t="s">
        <v>66</v>
      </c>
      <c r="E499" t="s">
        <v>102</v>
      </c>
      <c r="F499" t="s">
        <v>36</v>
      </c>
      <c r="G499" t="s">
        <v>68</v>
      </c>
      <c r="H499" t="s">
        <v>58</v>
      </c>
      <c r="I499" t="s">
        <v>26</v>
      </c>
      <c r="J499" t="s">
        <v>63</v>
      </c>
      <c r="K499">
        <v>31</v>
      </c>
      <c r="L499">
        <v>8.1</v>
      </c>
      <c r="M499">
        <v>5</v>
      </c>
      <c r="O499" t="s">
        <v>54</v>
      </c>
      <c r="P499" t="s">
        <v>71</v>
      </c>
      <c r="Q499" t="s">
        <v>65</v>
      </c>
      <c r="R499" t="s">
        <v>31</v>
      </c>
      <c r="S499">
        <v>1</v>
      </c>
      <c r="T499" t="s">
        <v>49</v>
      </c>
    </row>
    <row r="500" spans="1:20">
      <c r="A500">
        <v>499</v>
      </c>
      <c r="B500" s="14">
        <v>45950</v>
      </c>
      <c r="C500" t="s">
        <v>60</v>
      </c>
      <c r="D500" t="s">
        <v>21</v>
      </c>
      <c r="E500" t="s">
        <v>99</v>
      </c>
      <c r="F500" t="s">
        <v>91</v>
      </c>
      <c r="G500" t="s">
        <v>88</v>
      </c>
      <c r="H500" t="s">
        <v>46</v>
      </c>
      <c r="I500" t="s">
        <v>53</v>
      </c>
      <c r="J500" t="s">
        <v>48</v>
      </c>
      <c r="K500">
        <v>20</v>
      </c>
      <c r="L500">
        <v>32.93</v>
      </c>
      <c r="M500">
        <v>0</v>
      </c>
      <c r="O500" t="s">
        <v>40</v>
      </c>
      <c r="P500" t="s">
        <v>64</v>
      </c>
      <c r="Q500" t="s">
        <v>65</v>
      </c>
      <c r="R500" t="s">
        <v>31</v>
      </c>
      <c r="S500">
        <v>3</v>
      </c>
      <c r="T500" t="s">
        <v>49</v>
      </c>
    </row>
    <row r="501" spans="1:19">
      <c r="A501">
        <v>500</v>
      </c>
      <c r="B501" s="14">
        <v>45768</v>
      </c>
      <c r="C501" t="s">
        <v>50</v>
      </c>
      <c r="D501" t="s">
        <v>61</v>
      </c>
      <c r="E501" t="s">
        <v>22</v>
      </c>
      <c r="F501" t="s">
        <v>70</v>
      </c>
      <c r="G501" t="s">
        <v>88</v>
      </c>
      <c r="H501" t="s">
        <v>58</v>
      </c>
      <c r="I501" t="s">
        <v>47</v>
      </c>
      <c r="J501" t="s">
        <v>48</v>
      </c>
      <c r="K501">
        <v>5</v>
      </c>
      <c r="L501">
        <v>87.69</v>
      </c>
      <c r="M501">
        <v>15</v>
      </c>
      <c r="O501" t="s">
        <v>59</v>
      </c>
      <c r="P501" t="s">
        <v>75</v>
      </c>
      <c r="Q501" t="s">
        <v>65</v>
      </c>
      <c r="R501" t="s">
        <v>42</v>
      </c>
      <c r="S501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1"/>
  <sheetViews>
    <sheetView workbookViewId="0">
      <selection activeCell="K9" sqref="K9"/>
    </sheetView>
  </sheetViews>
  <sheetFormatPr defaultColWidth="9.14285714285714" defaultRowHeight="15"/>
  <cols>
    <col min="1" max="1" width="8.14285714285714" customWidth="1"/>
    <col min="2" max="2" width="16.7142857142857" customWidth="1"/>
    <col min="3" max="3" width="8" customWidth="1"/>
    <col min="4" max="4" width="6.14285714285714" customWidth="1"/>
    <col min="5" max="5" width="8" customWidth="1"/>
    <col min="6" max="6" width="10" customWidth="1"/>
    <col min="7" max="7" width="11.7142857142857" customWidth="1"/>
    <col min="8" max="8" width="9.85714285714286" customWidth="1"/>
    <col min="9" max="9" width="14" customWidth="1"/>
    <col min="10" max="10" width="17" customWidth="1"/>
    <col min="11" max="11" width="14.7142857142857" customWidth="1"/>
    <col min="12" max="12" width="11" customWidth="1"/>
    <col min="13" max="13" width="12.1428571428571" customWidth="1"/>
    <col min="14" max="14" width="14.7142857142857" customWidth="1"/>
    <col min="15" max="15" width="15" customWidth="1"/>
    <col min="16" max="16" width="16.4285714285714" customWidth="1"/>
    <col min="17" max="17" width="18.8571428571429" customWidth="1"/>
    <col min="18" max="18" width="12.4285714285714" customWidth="1"/>
    <col min="19" max="19" width="17.5714285714286" customWidth="1"/>
    <col min="20" max="20" width="17.4285714285714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s="14">
        <v>45985</v>
      </c>
      <c r="C2" t="s">
        <v>20</v>
      </c>
      <c r="D2" t="s">
        <v>124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44</v>
      </c>
      <c r="L2">
        <v>75.36</v>
      </c>
      <c r="M2">
        <v>0</v>
      </c>
      <c r="N2" s="15">
        <f t="shared" ref="N2:N65" si="0">PRODUCT(K2,L2)</f>
        <v>3315.84</v>
      </c>
      <c r="O2" t="s">
        <v>28</v>
      </c>
      <c r="P2" t="s">
        <v>71</v>
      </c>
      <c r="Q2" t="s">
        <v>30</v>
      </c>
      <c r="R2" t="s">
        <v>31</v>
      </c>
      <c r="S2">
        <v>1</v>
      </c>
      <c r="T2" t="s">
        <v>125</v>
      </c>
    </row>
    <row r="3" spans="1:20">
      <c r="A3">
        <v>2</v>
      </c>
      <c r="B3" s="14">
        <v>45777</v>
      </c>
      <c r="C3" t="s">
        <v>33</v>
      </c>
      <c r="D3" t="s">
        <v>126</v>
      </c>
      <c r="E3" t="s">
        <v>35</v>
      </c>
      <c r="F3" t="s">
        <v>91</v>
      </c>
      <c r="G3" t="s">
        <v>24</v>
      </c>
      <c r="H3" t="s">
        <v>58</v>
      </c>
      <c r="I3" t="s">
        <v>38</v>
      </c>
      <c r="J3" t="s">
        <v>39</v>
      </c>
      <c r="K3">
        <v>29</v>
      </c>
      <c r="L3">
        <v>60.98</v>
      </c>
      <c r="M3">
        <v>0</v>
      </c>
      <c r="N3" s="15">
        <f t="shared" si="0"/>
        <v>1768.42</v>
      </c>
      <c r="O3" t="s">
        <v>40</v>
      </c>
      <c r="P3" t="s">
        <v>71</v>
      </c>
      <c r="Q3" t="s">
        <v>30</v>
      </c>
      <c r="R3" t="s">
        <v>42</v>
      </c>
      <c r="S3">
        <v>2</v>
      </c>
      <c r="T3" t="s">
        <v>125</v>
      </c>
    </row>
    <row r="4" spans="1:20">
      <c r="A4">
        <v>3</v>
      </c>
      <c r="B4" s="14">
        <v>45830</v>
      </c>
      <c r="C4" t="s">
        <v>20</v>
      </c>
      <c r="D4" t="s">
        <v>124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>
        <v>3</v>
      </c>
      <c r="L4">
        <v>74.32</v>
      </c>
      <c r="M4">
        <v>0</v>
      </c>
      <c r="N4" s="15">
        <f t="shared" si="0"/>
        <v>222.96</v>
      </c>
      <c r="O4" t="s">
        <v>28</v>
      </c>
      <c r="P4" t="s">
        <v>71</v>
      </c>
      <c r="Q4" t="s">
        <v>30</v>
      </c>
      <c r="R4" t="s">
        <v>42</v>
      </c>
      <c r="S4">
        <v>3</v>
      </c>
      <c r="T4" t="s">
        <v>127</v>
      </c>
    </row>
    <row r="5" spans="1:20">
      <c r="A5">
        <v>4</v>
      </c>
      <c r="B5" s="14">
        <v>45953</v>
      </c>
      <c r="C5" t="s">
        <v>50</v>
      </c>
      <c r="D5" t="s">
        <v>124</v>
      </c>
      <c r="E5" t="s">
        <v>52</v>
      </c>
      <c r="F5" t="s">
        <v>44</v>
      </c>
      <c r="G5" t="s">
        <v>128</v>
      </c>
      <c r="H5" t="s">
        <v>25</v>
      </c>
      <c r="I5" t="s">
        <v>53</v>
      </c>
      <c r="J5" t="s">
        <v>27</v>
      </c>
      <c r="K5">
        <v>15</v>
      </c>
      <c r="L5">
        <v>87.32</v>
      </c>
      <c r="M5">
        <v>15</v>
      </c>
      <c r="N5" s="15">
        <f t="shared" si="0"/>
        <v>1309.8</v>
      </c>
      <c r="O5" t="s">
        <v>54</v>
      </c>
      <c r="P5" t="s">
        <v>71</v>
      </c>
      <c r="Q5" t="s">
        <v>30</v>
      </c>
      <c r="R5" t="s">
        <v>31</v>
      </c>
      <c r="S5">
        <v>3</v>
      </c>
      <c r="T5" t="s">
        <v>127</v>
      </c>
    </row>
    <row r="6" spans="1:20">
      <c r="A6">
        <v>5</v>
      </c>
      <c r="B6" s="14">
        <v>45765</v>
      </c>
      <c r="C6" t="s">
        <v>20</v>
      </c>
      <c r="D6" t="s">
        <v>129</v>
      </c>
      <c r="E6" t="s">
        <v>57</v>
      </c>
      <c r="F6" t="s">
        <v>130</v>
      </c>
      <c r="G6" t="s">
        <v>128</v>
      </c>
      <c r="H6" t="s">
        <v>58</v>
      </c>
      <c r="I6" t="s">
        <v>47</v>
      </c>
      <c r="J6" t="s">
        <v>39</v>
      </c>
      <c r="K6">
        <v>35</v>
      </c>
      <c r="L6">
        <v>74.27</v>
      </c>
      <c r="M6">
        <v>5</v>
      </c>
      <c r="N6" s="15">
        <f t="shared" si="0"/>
        <v>2599.45</v>
      </c>
      <c r="O6" t="s">
        <v>28</v>
      </c>
      <c r="P6" t="s">
        <v>71</v>
      </c>
      <c r="Q6" t="s">
        <v>30</v>
      </c>
      <c r="R6" t="s">
        <v>42</v>
      </c>
      <c r="S6">
        <v>3</v>
      </c>
      <c r="T6" t="s">
        <v>125</v>
      </c>
    </row>
    <row r="7" spans="1:20">
      <c r="A7">
        <v>6</v>
      </c>
      <c r="B7" s="14">
        <v>46008</v>
      </c>
      <c r="C7" t="s">
        <v>60</v>
      </c>
      <c r="D7" t="s">
        <v>61</v>
      </c>
      <c r="E7" t="s">
        <v>62</v>
      </c>
      <c r="F7" t="s">
        <v>44</v>
      </c>
      <c r="G7" t="s">
        <v>24</v>
      </c>
      <c r="H7" t="s">
        <v>58</v>
      </c>
      <c r="I7" t="s">
        <v>53</v>
      </c>
      <c r="J7" t="s">
        <v>63</v>
      </c>
      <c r="K7">
        <v>18</v>
      </c>
      <c r="L7">
        <v>11.29</v>
      </c>
      <c r="M7">
        <v>0</v>
      </c>
      <c r="N7" s="15">
        <f t="shared" si="0"/>
        <v>203.22</v>
      </c>
      <c r="O7" t="s">
        <v>54</v>
      </c>
      <c r="P7" t="s">
        <v>64</v>
      </c>
      <c r="Q7" t="s">
        <v>76</v>
      </c>
      <c r="R7" t="s">
        <v>42</v>
      </c>
      <c r="S7">
        <v>3</v>
      </c>
      <c r="T7" t="s">
        <v>131</v>
      </c>
    </row>
    <row r="8" spans="1:20">
      <c r="A8">
        <v>7</v>
      </c>
      <c r="B8" s="14">
        <v>45731</v>
      </c>
      <c r="C8" t="s">
        <v>60</v>
      </c>
      <c r="D8" t="s">
        <v>61</v>
      </c>
      <c r="E8" t="s">
        <v>67</v>
      </c>
      <c r="F8" t="s">
        <v>130</v>
      </c>
      <c r="G8" t="s">
        <v>68</v>
      </c>
      <c r="H8" t="s">
        <v>58</v>
      </c>
      <c r="I8" t="s">
        <v>53</v>
      </c>
      <c r="J8" t="s">
        <v>63</v>
      </c>
      <c r="K8">
        <v>38</v>
      </c>
      <c r="L8">
        <v>42.94</v>
      </c>
      <c r="M8">
        <v>5</v>
      </c>
      <c r="N8" s="15">
        <f t="shared" si="0"/>
        <v>1631.72</v>
      </c>
      <c r="O8" t="s">
        <v>40</v>
      </c>
      <c r="P8" t="s">
        <v>71</v>
      </c>
      <c r="Q8" t="s">
        <v>30</v>
      </c>
      <c r="R8" t="s">
        <v>31</v>
      </c>
      <c r="S8">
        <v>1</v>
      </c>
      <c r="T8" t="s">
        <v>125</v>
      </c>
    </row>
    <row r="9" spans="1:20">
      <c r="A9">
        <v>8</v>
      </c>
      <c r="B9" s="14">
        <v>45979</v>
      </c>
      <c r="C9" t="s">
        <v>50</v>
      </c>
      <c r="D9" t="s">
        <v>61</v>
      </c>
      <c r="E9" t="s">
        <v>69</v>
      </c>
      <c r="F9" t="s">
        <v>44</v>
      </c>
      <c r="G9" t="s">
        <v>68</v>
      </c>
      <c r="H9" t="s">
        <v>58</v>
      </c>
      <c r="I9" t="s">
        <v>38</v>
      </c>
      <c r="J9" t="s">
        <v>63</v>
      </c>
      <c r="K9">
        <v>39</v>
      </c>
      <c r="L9">
        <v>99.63</v>
      </c>
      <c r="M9">
        <v>0</v>
      </c>
      <c r="N9" s="15">
        <f t="shared" si="0"/>
        <v>3885.57</v>
      </c>
      <c r="O9" t="s">
        <v>54</v>
      </c>
      <c r="P9" t="s">
        <v>71</v>
      </c>
      <c r="Q9" t="s">
        <v>30</v>
      </c>
      <c r="R9" t="s">
        <v>42</v>
      </c>
      <c r="S9">
        <v>5</v>
      </c>
      <c r="T9" t="s">
        <v>127</v>
      </c>
    </row>
    <row r="10" spans="1:20">
      <c r="A10">
        <v>9</v>
      </c>
      <c r="B10" s="14">
        <v>45986</v>
      </c>
      <c r="C10" t="s">
        <v>60</v>
      </c>
      <c r="D10" t="s">
        <v>124</v>
      </c>
      <c r="E10" t="s">
        <v>72</v>
      </c>
      <c r="F10" t="s">
        <v>44</v>
      </c>
      <c r="G10" t="s">
        <v>24</v>
      </c>
      <c r="H10" t="s">
        <v>73</v>
      </c>
      <c r="I10" t="s">
        <v>74</v>
      </c>
      <c r="J10" t="s">
        <v>48</v>
      </c>
      <c r="K10">
        <v>33</v>
      </c>
      <c r="L10">
        <v>77.39</v>
      </c>
      <c r="M10">
        <v>0</v>
      </c>
      <c r="N10" s="15">
        <f t="shared" si="0"/>
        <v>2553.87</v>
      </c>
      <c r="O10" t="s">
        <v>28</v>
      </c>
      <c r="P10" t="s">
        <v>132</v>
      </c>
      <c r="Q10" t="s">
        <v>76</v>
      </c>
      <c r="R10" t="s">
        <v>31</v>
      </c>
      <c r="S10">
        <v>3</v>
      </c>
      <c r="T10" t="s">
        <v>125</v>
      </c>
    </row>
    <row r="11" spans="1:20">
      <c r="A11">
        <v>10</v>
      </c>
      <c r="B11" s="14">
        <v>45934</v>
      </c>
      <c r="C11" t="s">
        <v>50</v>
      </c>
      <c r="D11" t="s">
        <v>126</v>
      </c>
      <c r="E11" t="s">
        <v>78</v>
      </c>
      <c r="F11" t="s">
        <v>91</v>
      </c>
      <c r="G11" t="s">
        <v>45</v>
      </c>
      <c r="H11" t="s">
        <v>73</v>
      </c>
      <c r="I11" t="s">
        <v>74</v>
      </c>
      <c r="J11" t="s">
        <v>27</v>
      </c>
      <c r="K11">
        <v>24</v>
      </c>
      <c r="L11">
        <v>88.48</v>
      </c>
      <c r="M11">
        <v>10</v>
      </c>
      <c r="N11" s="15">
        <f t="shared" si="0"/>
        <v>2123.52</v>
      </c>
      <c r="O11" t="s">
        <v>40</v>
      </c>
      <c r="P11" t="s">
        <v>71</v>
      </c>
      <c r="Q11" t="s">
        <v>76</v>
      </c>
      <c r="R11" t="s">
        <v>42</v>
      </c>
      <c r="S11">
        <v>1</v>
      </c>
      <c r="T11" t="s">
        <v>131</v>
      </c>
    </row>
    <row r="12" spans="1:20">
      <c r="A12">
        <v>11</v>
      </c>
      <c r="B12" s="14">
        <v>45906</v>
      </c>
      <c r="C12" t="s">
        <v>50</v>
      </c>
      <c r="D12" t="s">
        <v>124</v>
      </c>
      <c r="E12" t="s">
        <v>79</v>
      </c>
      <c r="F12" t="s">
        <v>91</v>
      </c>
      <c r="G12" t="s">
        <v>24</v>
      </c>
      <c r="H12" t="s">
        <v>25</v>
      </c>
      <c r="I12" t="s">
        <v>38</v>
      </c>
      <c r="J12" t="s">
        <v>39</v>
      </c>
      <c r="K12">
        <v>17</v>
      </c>
      <c r="L12">
        <v>55.13</v>
      </c>
      <c r="M12">
        <v>0</v>
      </c>
      <c r="N12" s="15">
        <f t="shared" si="0"/>
        <v>937.21</v>
      </c>
      <c r="O12" t="s">
        <v>28</v>
      </c>
      <c r="P12" t="s">
        <v>64</v>
      </c>
      <c r="Q12" t="s">
        <v>76</v>
      </c>
      <c r="R12" t="s">
        <v>42</v>
      </c>
      <c r="S12">
        <v>3</v>
      </c>
      <c r="T12" t="s">
        <v>131</v>
      </c>
    </row>
    <row r="13" spans="1:20">
      <c r="A13">
        <v>12</v>
      </c>
      <c r="B13" s="14">
        <v>46001</v>
      </c>
      <c r="C13" t="s">
        <v>20</v>
      </c>
      <c r="D13" t="s">
        <v>129</v>
      </c>
      <c r="E13" t="s">
        <v>80</v>
      </c>
      <c r="F13" t="s">
        <v>91</v>
      </c>
      <c r="G13" t="s">
        <v>81</v>
      </c>
      <c r="H13" t="s">
        <v>58</v>
      </c>
      <c r="I13" t="s">
        <v>26</v>
      </c>
      <c r="J13" t="s">
        <v>39</v>
      </c>
      <c r="K13">
        <v>5</v>
      </c>
      <c r="L13">
        <v>37.12</v>
      </c>
      <c r="M13">
        <v>0</v>
      </c>
      <c r="N13" s="15">
        <f t="shared" si="0"/>
        <v>185.6</v>
      </c>
      <c r="O13" t="s">
        <v>40</v>
      </c>
      <c r="P13" t="s">
        <v>64</v>
      </c>
      <c r="Q13" t="s">
        <v>30</v>
      </c>
      <c r="R13" t="s">
        <v>31</v>
      </c>
      <c r="S13">
        <v>5</v>
      </c>
      <c r="T13" t="s">
        <v>131</v>
      </c>
    </row>
    <row r="14" spans="1:20">
      <c r="A14">
        <v>13</v>
      </c>
      <c r="B14" s="14">
        <v>45775</v>
      </c>
      <c r="C14" t="s">
        <v>20</v>
      </c>
      <c r="D14" t="s">
        <v>124</v>
      </c>
      <c r="E14" t="s">
        <v>82</v>
      </c>
      <c r="F14" t="s">
        <v>44</v>
      </c>
      <c r="G14" t="s">
        <v>68</v>
      </c>
      <c r="H14" t="s">
        <v>25</v>
      </c>
      <c r="I14" t="s">
        <v>53</v>
      </c>
      <c r="J14" t="s">
        <v>63</v>
      </c>
      <c r="K14">
        <v>14</v>
      </c>
      <c r="L14">
        <v>56.23</v>
      </c>
      <c r="M14">
        <v>0</v>
      </c>
      <c r="N14" s="15">
        <f t="shared" si="0"/>
        <v>787.22</v>
      </c>
      <c r="O14" t="s">
        <v>28</v>
      </c>
      <c r="P14" t="s">
        <v>64</v>
      </c>
      <c r="Q14" t="s">
        <v>76</v>
      </c>
      <c r="R14" t="s">
        <v>42</v>
      </c>
      <c r="S14">
        <v>2</v>
      </c>
      <c r="T14" t="s">
        <v>131</v>
      </c>
    </row>
    <row r="15" spans="1:20">
      <c r="A15">
        <v>14</v>
      </c>
      <c r="B15" s="14">
        <v>45707</v>
      </c>
      <c r="C15" t="s">
        <v>20</v>
      </c>
      <c r="D15" t="s">
        <v>133</v>
      </c>
      <c r="E15" t="s">
        <v>84</v>
      </c>
      <c r="F15" t="s">
        <v>44</v>
      </c>
      <c r="G15" t="s">
        <v>81</v>
      </c>
      <c r="H15" t="s">
        <v>73</v>
      </c>
      <c r="I15" t="s">
        <v>74</v>
      </c>
      <c r="J15" t="s">
        <v>27</v>
      </c>
      <c r="K15">
        <v>4</v>
      </c>
      <c r="L15">
        <v>43.25</v>
      </c>
      <c r="M15">
        <v>10</v>
      </c>
      <c r="N15" s="15">
        <f t="shared" si="0"/>
        <v>173</v>
      </c>
      <c r="O15" t="s">
        <v>28</v>
      </c>
      <c r="P15" t="s">
        <v>64</v>
      </c>
      <c r="Q15" t="s">
        <v>76</v>
      </c>
      <c r="R15" t="s">
        <v>31</v>
      </c>
      <c r="S15">
        <v>5</v>
      </c>
      <c r="T15" t="s">
        <v>131</v>
      </c>
    </row>
    <row r="16" spans="1:20">
      <c r="A16">
        <v>15</v>
      </c>
      <c r="B16" s="14">
        <v>45729</v>
      </c>
      <c r="C16" t="s">
        <v>85</v>
      </c>
      <c r="D16" t="s">
        <v>61</v>
      </c>
      <c r="E16" t="s">
        <v>86</v>
      </c>
      <c r="F16" t="s">
        <v>44</v>
      </c>
      <c r="G16" t="s">
        <v>24</v>
      </c>
      <c r="H16" t="s">
        <v>58</v>
      </c>
      <c r="I16" t="s">
        <v>38</v>
      </c>
      <c r="J16" t="s">
        <v>27</v>
      </c>
      <c r="K16">
        <v>4</v>
      </c>
      <c r="L16">
        <v>66.95</v>
      </c>
      <c r="M16">
        <v>0</v>
      </c>
      <c r="N16" s="15">
        <f t="shared" si="0"/>
        <v>267.8</v>
      </c>
      <c r="O16" t="s">
        <v>28</v>
      </c>
      <c r="P16" t="s">
        <v>71</v>
      </c>
      <c r="Q16" t="s">
        <v>76</v>
      </c>
      <c r="R16" t="s">
        <v>31</v>
      </c>
      <c r="S16">
        <v>4</v>
      </c>
      <c r="T16" t="s">
        <v>131</v>
      </c>
    </row>
    <row r="17" spans="1:20">
      <c r="A17">
        <v>16</v>
      </c>
      <c r="B17" s="14">
        <v>45904</v>
      </c>
      <c r="C17" t="s">
        <v>50</v>
      </c>
      <c r="D17" t="s">
        <v>61</v>
      </c>
      <c r="E17" t="s">
        <v>87</v>
      </c>
      <c r="F17" t="s">
        <v>44</v>
      </c>
      <c r="G17" t="s">
        <v>24</v>
      </c>
      <c r="H17" t="s">
        <v>73</v>
      </c>
      <c r="I17" t="s">
        <v>74</v>
      </c>
      <c r="J17" t="s">
        <v>63</v>
      </c>
      <c r="K17">
        <v>17</v>
      </c>
      <c r="L17">
        <v>93.02</v>
      </c>
      <c r="M17">
        <v>15</v>
      </c>
      <c r="N17" s="15">
        <f t="shared" si="0"/>
        <v>1581.34</v>
      </c>
      <c r="O17" t="s">
        <v>54</v>
      </c>
      <c r="P17" t="s">
        <v>71</v>
      </c>
      <c r="Q17" t="s">
        <v>76</v>
      </c>
      <c r="R17" t="s">
        <v>31</v>
      </c>
      <c r="S17">
        <v>2</v>
      </c>
      <c r="T17" t="s">
        <v>127</v>
      </c>
    </row>
    <row r="18" spans="1:20">
      <c r="A18">
        <v>17</v>
      </c>
      <c r="B18" s="14">
        <v>45769</v>
      </c>
      <c r="C18" t="s">
        <v>20</v>
      </c>
      <c r="D18" t="s">
        <v>126</v>
      </c>
      <c r="E18" t="s">
        <v>22</v>
      </c>
      <c r="F18" t="s">
        <v>91</v>
      </c>
      <c r="G18" t="s">
        <v>88</v>
      </c>
      <c r="H18" t="s">
        <v>46</v>
      </c>
      <c r="I18" t="s">
        <v>74</v>
      </c>
      <c r="J18" t="s">
        <v>27</v>
      </c>
      <c r="K18">
        <v>38</v>
      </c>
      <c r="L18">
        <v>50.29</v>
      </c>
      <c r="M18">
        <v>0</v>
      </c>
      <c r="N18" s="15">
        <f t="shared" si="0"/>
        <v>1911.02</v>
      </c>
      <c r="O18" t="s">
        <v>40</v>
      </c>
      <c r="P18" t="s">
        <v>71</v>
      </c>
      <c r="Q18" t="s">
        <v>30</v>
      </c>
      <c r="R18" t="s">
        <v>31</v>
      </c>
      <c r="S18">
        <v>1</v>
      </c>
      <c r="T18" t="s">
        <v>131</v>
      </c>
    </row>
    <row r="19" spans="1:20">
      <c r="A19">
        <v>18</v>
      </c>
      <c r="B19" s="14">
        <v>46003</v>
      </c>
      <c r="C19" t="s">
        <v>50</v>
      </c>
      <c r="D19" t="s">
        <v>61</v>
      </c>
      <c r="E19" t="s">
        <v>87</v>
      </c>
      <c r="F19" t="s">
        <v>44</v>
      </c>
      <c r="G19" t="s">
        <v>68</v>
      </c>
      <c r="H19" t="s">
        <v>25</v>
      </c>
      <c r="I19" t="s">
        <v>47</v>
      </c>
      <c r="J19" t="s">
        <v>27</v>
      </c>
      <c r="K19">
        <v>40</v>
      </c>
      <c r="L19">
        <v>12.79</v>
      </c>
      <c r="M19">
        <v>0</v>
      </c>
      <c r="N19" s="15">
        <f t="shared" si="0"/>
        <v>511.6</v>
      </c>
      <c r="O19" t="s">
        <v>54</v>
      </c>
      <c r="P19" t="s">
        <v>132</v>
      </c>
      <c r="Q19" t="s">
        <v>76</v>
      </c>
      <c r="R19" t="s">
        <v>42</v>
      </c>
      <c r="S19">
        <v>4</v>
      </c>
      <c r="T19" t="s">
        <v>127</v>
      </c>
    </row>
    <row r="20" spans="1:20">
      <c r="A20">
        <v>19</v>
      </c>
      <c r="B20" s="14">
        <v>45780</v>
      </c>
      <c r="C20" t="s">
        <v>60</v>
      </c>
      <c r="D20" t="s">
        <v>133</v>
      </c>
      <c r="E20" t="s">
        <v>89</v>
      </c>
      <c r="F20" t="s">
        <v>130</v>
      </c>
      <c r="G20" t="s">
        <v>128</v>
      </c>
      <c r="H20" t="s">
        <v>46</v>
      </c>
      <c r="I20" t="s">
        <v>38</v>
      </c>
      <c r="J20" t="s">
        <v>48</v>
      </c>
      <c r="K20">
        <v>49</v>
      </c>
      <c r="L20">
        <v>93.89</v>
      </c>
      <c r="M20">
        <v>0</v>
      </c>
      <c r="N20" s="15">
        <f t="shared" si="0"/>
        <v>4600.61</v>
      </c>
      <c r="O20" t="s">
        <v>28</v>
      </c>
      <c r="P20" t="s">
        <v>71</v>
      </c>
      <c r="Q20" t="s">
        <v>30</v>
      </c>
      <c r="R20" t="s">
        <v>42</v>
      </c>
      <c r="S20">
        <v>2</v>
      </c>
      <c r="T20" t="s">
        <v>127</v>
      </c>
    </row>
    <row r="21" spans="1:20">
      <c r="A21">
        <v>20</v>
      </c>
      <c r="B21" s="14">
        <v>45725</v>
      </c>
      <c r="C21" t="s">
        <v>60</v>
      </c>
      <c r="D21" t="s">
        <v>124</v>
      </c>
      <c r="E21" t="s">
        <v>67</v>
      </c>
      <c r="F21" t="s">
        <v>23</v>
      </c>
      <c r="G21" t="s">
        <v>45</v>
      </c>
      <c r="H21" t="s">
        <v>25</v>
      </c>
      <c r="I21" t="s">
        <v>38</v>
      </c>
      <c r="J21" t="s">
        <v>48</v>
      </c>
      <c r="K21">
        <v>40</v>
      </c>
      <c r="L21">
        <v>98.47</v>
      </c>
      <c r="M21">
        <v>0</v>
      </c>
      <c r="N21" s="15">
        <f t="shared" si="0"/>
        <v>3938.8</v>
      </c>
      <c r="O21" t="s">
        <v>28</v>
      </c>
      <c r="P21" t="s">
        <v>132</v>
      </c>
      <c r="Q21" t="s">
        <v>30</v>
      </c>
      <c r="R21" t="s">
        <v>31</v>
      </c>
      <c r="S21">
        <v>3</v>
      </c>
      <c r="T21" t="s">
        <v>131</v>
      </c>
    </row>
    <row r="22" spans="1:20">
      <c r="A22">
        <v>21</v>
      </c>
      <c r="B22" s="14">
        <v>45712</v>
      </c>
      <c r="C22" t="s">
        <v>20</v>
      </c>
      <c r="D22" t="s">
        <v>126</v>
      </c>
      <c r="E22" t="s">
        <v>90</v>
      </c>
      <c r="F22" t="s">
        <v>23</v>
      </c>
      <c r="G22" t="s">
        <v>45</v>
      </c>
      <c r="H22" t="s">
        <v>58</v>
      </c>
      <c r="I22" t="s">
        <v>26</v>
      </c>
      <c r="J22" t="s">
        <v>48</v>
      </c>
      <c r="K22">
        <v>14</v>
      </c>
      <c r="L22">
        <v>70.31</v>
      </c>
      <c r="M22">
        <v>10</v>
      </c>
      <c r="N22" s="15">
        <f t="shared" si="0"/>
        <v>984.34</v>
      </c>
      <c r="O22" t="s">
        <v>28</v>
      </c>
      <c r="P22" t="s">
        <v>132</v>
      </c>
      <c r="Q22" t="s">
        <v>30</v>
      </c>
      <c r="R22" t="s">
        <v>31</v>
      </c>
      <c r="S22">
        <v>4</v>
      </c>
      <c r="T22" t="s">
        <v>131</v>
      </c>
    </row>
    <row r="23" spans="1:20">
      <c r="A23">
        <v>22</v>
      </c>
      <c r="B23" s="14">
        <v>45799</v>
      </c>
      <c r="C23" t="s">
        <v>20</v>
      </c>
      <c r="D23" t="s">
        <v>124</v>
      </c>
      <c r="E23" t="s">
        <v>82</v>
      </c>
      <c r="F23" t="s">
        <v>91</v>
      </c>
      <c r="G23" t="s">
        <v>128</v>
      </c>
      <c r="H23" t="s">
        <v>46</v>
      </c>
      <c r="I23" t="s">
        <v>26</v>
      </c>
      <c r="J23" t="s">
        <v>63</v>
      </c>
      <c r="K23">
        <v>36</v>
      </c>
      <c r="L23">
        <v>72.04</v>
      </c>
      <c r="M23">
        <v>0</v>
      </c>
      <c r="N23" s="15">
        <f t="shared" si="0"/>
        <v>2593.44</v>
      </c>
      <c r="O23" t="s">
        <v>28</v>
      </c>
      <c r="P23" t="s">
        <v>71</v>
      </c>
      <c r="Q23" t="s">
        <v>30</v>
      </c>
      <c r="R23" t="s">
        <v>42</v>
      </c>
      <c r="S23">
        <v>2</v>
      </c>
      <c r="T23" t="s">
        <v>131</v>
      </c>
    </row>
    <row r="24" spans="1:20">
      <c r="A24">
        <v>23</v>
      </c>
      <c r="B24" s="14">
        <v>45847</v>
      </c>
      <c r="C24" t="s">
        <v>33</v>
      </c>
      <c r="D24" t="s">
        <v>126</v>
      </c>
      <c r="E24" t="s">
        <v>90</v>
      </c>
      <c r="F24" t="s">
        <v>44</v>
      </c>
      <c r="G24" t="s">
        <v>24</v>
      </c>
      <c r="H24" t="s">
        <v>58</v>
      </c>
      <c r="I24" t="s">
        <v>53</v>
      </c>
      <c r="J24" t="s">
        <v>48</v>
      </c>
      <c r="K24">
        <v>3</v>
      </c>
      <c r="L24">
        <v>90.4</v>
      </c>
      <c r="M24">
        <v>5</v>
      </c>
      <c r="N24" s="15">
        <f t="shared" si="0"/>
        <v>271.2</v>
      </c>
      <c r="O24" t="s">
        <v>40</v>
      </c>
      <c r="P24" t="s">
        <v>71</v>
      </c>
      <c r="Q24" t="s">
        <v>30</v>
      </c>
      <c r="R24" t="s">
        <v>42</v>
      </c>
      <c r="S24">
        <v>4</v>
      </c>
      <c r="T24" t="s">
        <v>125</v>
      </c>
    </row>
    <row r="25" spans="1:20">
      <c r="A25">
        <v>24</v>
      </c>
      <c r="B25" s="14">
        <v>45779</v>
      </c>
      <c r="C25" t="s">
        <v>50</v>
      </c>
      <c r="D25" t="s">
        <v>61</v>
      </c>
      <c r="E25" t="s">
        <v>92</v>
      </c>
      <c r="F25" t="s">
        <v>44</v>
      </c>
      <c r="G25" t="s">
        <v>88</v>
      </c>
      <c r="H25" t="s">
        <v>25</v>
      </c>
      <c r="I25" t="s">
        <v>53</v>
      </c>
      <c r="J25" t="s">
        <v>63</v>
      </c>
      <c r="K25">
        <v>43</v>
      </c>
      <c r="L25">
        <v>87.09</v>
      </c>
      <c r="M25">
        <v>5</v>
      </c>
      <c r="N25" s="15">
        <f t="shared" si="0"/>
        <v>3744.87</v>
      </c>
      <c r="O25" t="s">
        <v>54</v>
      </c>
      <c r="P25" t="s">
        <v>64</v>
      </c>
      <c r="Q25" t="s">
        <v>30</v>
      </c>
      <c r="R25" t="s">
        <v>42</v>
      </c>
      <c r="S25">
        <v>1</v>
      </c>
      <c r="T25" t="s">
        <v>131</v>
      </c>
    </row>
    <row r="26" spans="1:20">
      <c r="A26">
        <v>25</v>
      </c>
      <c r="B26" s="14">
        <v>45771</v>
      </c>
      <c r="C26" t="s">
        <v>50</v>
      </c>
      <c r="D26" t="s">
        <v>61</v>
      </c>
      <c r="E26" t="s">
        <v>93</v>
      </c>
      <c r="F26" t="s">
        <v>23</v>
      </c>
      <c r="G26" t="s">
        <v>45</v>
      </c>
      <c r="H26" t="s">
        <v>25</v>
      </c>
      <c r="I26" t="s">
        <v>26</v>
      </c>
      <c r="J26" t="s">
        <v>27</v>
      </c>
      <c r="K26">
        <v>43</v>
      </c>
      <c r="L26">
        <v>23.35</v>
      </c>
      <c r="M26">
        <v>10</v>
      </c>
      <c r="N26" s="15">
        <f t="shared" si="0"/>
        <v>1004.05</v>
      </c>
      <c r="O26" t="s">
        <v>54</v>
      </c>
      <c r="P26" t="s">
        <v>71</v>
      </c>
      <c r="Q26" t="s">
        <v>30</v>
      </c>
      <c r="R26" t="s">
        <v>42</v>
      </c>
      <c r="S26">
        <v>4</v>
      </c>
      <c r="T26" t="s">
        <v>131</v>
      </c>
    </row>
    <row r="27" spans="1:20">
      <c r="A27">
        <v>26</v>
      </c>
      <c r="B27" s="14">
        <v>46005</v>
      </c>
      <c r="C27" t="s">
        <v>50</v>
      </c>
      <c r="D27" t="s">
        <v>126</v>
      </c>
      <c r="E27" t="s">
        <v>82</v>
      </c>
      <c r="F27" t="s">
        <v>44</v>
      </c>
      <c r="G27" t="s">
        <v>88</v>
      </c>
      <c r="H27" t="s">
        <v>46</v>
      </c>
      <c r="I27" t="s">
        <v>26</v>
      </c>
      <c r="J27" t="s">
        <v>48</v>
      </c>
      <c r="K27">
        <v>3</v>
      </c>
      <c r="L27">
        <v>15.3</v>
      </c>
      <c r="M27">
        <v>15</v>
      </c>
      <c r="N27" s="15">
        <f t="shared" si="0"/>
        <v>45.9</v>
      </c>
      <c r="O27" t="s">
        <v>54</v>
      </c>
      <c r="P27" t="s">
        <v>132</v>
      </c>
      <c r="Q27" t="s">
        <v>76</v>
      </c>
      <c r="R27" t="s">
        <v>42</v>
      </c>
      <c r="S27">
        <v>5</v>
      </c>
      <c r="T27" t="s">
        <v>131</v>
      </c>
    </row>
    <row r="28" spans="1:20">
      <c r="A28">
        <v>27</v>
      </c>
      <c r="B28" s="14">
        <v>45855</v>
      </c>
      <c r="C28" t="s">
        <v>33</v>
      </c>
      <c r="D28" t="s">
        <v>61</v>
      </c>
      <c r="E28" t="s">
        <v>94</v>
      </c>
      <c r="F28" t="s">
        <v>44</v>
      </c>
      <c r="G28" t="s">
        <v>128</v>
      </c>
      <c r="H28" t="s">
        <v>73</v>
      </c>
      <c r="I28" t="s">
        <v>74</v>
      </c>
      <c r="J28" t="s">
        <v>39</v>
      </c>
      <c r="K28">
        <v>24</v>
      </c>
      <c r="L28">
        <v>45.97</v>
      </c>
      <c r="M28">
        <v>10</v>
      </c>
      <c r="N28" s="15">
        <f t="shared" si="0"/>
        <v>1103.28</v>
      </c>
      <c r="O28" t="s">
        <v>54</v>
      </c>
      <c r="P28" t="s">
        <v>71</v>
      </c>
      <c r="Q28" t="s">
        <v>30</v>
      </c>
      <c r="R28" t="s">
        <v>42</v>
      </c>
      <c r="S28">
        <v>3</v>
      </c>
      <c r="T28" t="s">
        <v>131</v>
      </c>
    </row>
    <row r="29" spans="1:20">
      <c r="A29">
        <v>28</v>
      </c>
      <c r="B29" s="14">
        <v>45825</v>
      </c>
      <c r="C29" t="s">
        <v>85</v>
      </c>
      <c r="D29" t="s">
        <v>124</v>
      </c>
      <c r="E29" t="s">
        <v>72</v>
      </c>
      <c r="F29" t="s">
        <v>91</v>
      </c>
      <c r="G29" t="s">
        <v>24</v>
      </c>
      <c r="H29" t="s">
        <v>25</v>
      </c>
      <c r="I29" t="s">
        <v>38</v>
      </c>
      <c r="J29" t="s">
        <v>63</v>
      </c>
      <c r="K29">
        <v>44</v>
      </c>
      <c r="L29">
        <v>76.07</v>
      </c>
      <c r="M29">
        <v>5</v>
      </c>
      <c r="N29" s="15">
        <f t="shared" si="0"/>
        <v>3347.08</v>
      </c>
      <c r="O29" t="s">
        <v>54</v>
      </c>
      <c r="P29" t="s">
        <v>71</v>
      </c>
      <c r="Q29" t="s">
        <v>30</v>
      </c>
      <c r="R29" t="s">
        <v>42</v>
      </c>
      <c r="S29">
        <v>3</v>
      </c>
      <c r="T29" t="s">
        <v>125</v>
      </c>
    </row>
    <row r="30" spans="1:20">
      <c r="A30">
        <v>29</v>
      </c>
      <c r="B30" s="14">
        <v>45878</v>
      </c>
      <c r="C30" t="s">
        <v>50</v>
      </c>
      <c r="D30" t="s">
        <v>126</v>
      </c>
      <c r="E30" t="s">
        <v>95</v>
      </c>
      <c r="F30" t="s">
        <v>130</v>
      </c>
      <c r="G30" t="s">
        <v>45</v>
      </c>
      <c r="H30" t="s">
        <v>73</v>
      </c>
      <c r="I30" t="s">
        <v>38</v>
      </c>
      <c r="J30" t="s">
        <v>63</v>
      </c>
      <c r="K30">
        <v>44</v>
      </c>
      <c r="L30">
        <v>25.3</v>
      </c>
      <c r="M30">
        <v>15</v>
      </c>
      <c r="N30" s="15">
        <f t="shared" si="0"/>
        <v>1113.2</v>
      </c>
      <c r="O30" t="s">
        <v>40</v>
      </c>
      <c r="P30" t="s">
        <v>71</v>
      </c>
      <c r="Q30" t="s">
        <v>30</v>
      </c>
      <c r="R30" t="s">
        <v>42</v>
      </c>
      <c r="S30">
        <v>5</v>
      </c>
      <c r="T30" t="s">
        <v>127</v>
      </c>
    </row>
    <row r="31" spans="1:20">
      <c r="A31">
        <v>30</v>
      </c>
      <c r="B31" s="14">
        <v>45705</v>
      </c>
      <c r="C31" t="s">
        <v>50</v>
      </c>
      <c r="D31" t="s">
        <v>61</v>
      </c>
      <c r="E31" t="s">
        <v>67</v>
      </c>
      <c r="F31" t="s">
        <v>130</v>
      </c>
      <c r="G31" t="s">
        <v>45</v>
      </c>
      <c r="H31" t="s">
        <v>25</v>
      </c>
      <c r="I31" t="s">
        <v>26</v>
      </c>
      <c r="J31" t="s">
        <v>39</v>
      </c>
      <c r="K31">
        <v>2</v>
      </c>
      <c r="L31">
        <v>9.39</v>
      </c>
      <c r="M31">
        <v>15</v>
      </c>
      <c r="N31" s="15">
        <f t="shared" si="0"/>
        <v>18.78</v>
      </c>
      <c r="O31" t="s">
        <v>28</v>
      </c>
      <c r="P31" t="s">
        <v>71</v>
      </c>
      <c r="Q31" t="s">
        <v>76</v>
      </c>
      <c r="R31" t="s">
        <v>42</v>
      </c>
      <c r="S31">
        <v>5</v>
      </c>
      <c r="T31" t="s">
        <v>125</v>
      </c>
    </row>
    <row r="32" spans="1:20">
      <c r="A32">
        <v>31</v>
      </c>
      <c r="B32" s="14">
        <v>46014</v>
      </c>
      <c r="C32" t="s">
        <v>85</v>
      </c>
      <c r="D32" t="s">
        <v>133</v>
      </c>
      <c r="E32" t="s">
        <v>87</v>
      </c>
      <c r="F32" t="s">
        <v>91</v>
      </c>
      <c r="G32" t="s">
        <v>24</v>
      </c>
      <c r="H32" t="s">
        <v>58</v>
      </c>
      <c r="I32" t="s">
        <v>74</v>
      </c>
      <c r="J32" t="s">
        <v>63</v>
      </c>
      <c r="K32">
        <v>15</v>
      </c>
      <c r="L32">
        <v>21.71</v>
      </c>
      <c r="M32">
        <v>0</v>
      </c>
      <c r="N32" s="15">
        <f t="shared" si="0"/>
        <v>325.65</v>
      </c>
      <c r="O32" t="s">
        <v>28</v>
      </c>
      <c r="P32" t="s">
        <v>71</v>
      </c>
      <c r="Q32" t="s">
        <v>76</v>
      </c>
      <c r="R32" t="s">
        <v>31</v>
      </c>
      <c r="S32">
        <v>4</v>
      </c>
      <c r="T32" t="s">
        <v>125</v>
      </c>
    </row>
    <row r="33" spans="1:20">
      <c r="A33">
        <v>32</v>
      </c>
      <c r="B33" s="14">
        <v>45895</v>
      </c>
      <c r="C33" t="s">
        <v>20</v>
      </c>
      <c r="D33" t="s">
        <v>126</v>
      </c>
      <c r="E33" t="s">
        <v>96</v>
      </c>
      <c r="F33" t="s">
        <v>91</v>
      </c>
      <c r="G33" t="s">
        <v>45</v>
      </c>
      <c r="H33" t="s">
        <v>73</v>
      </c>
      <c r="I33" t="s">
        <v>47</v>
      </c>
      <c r="J33" t="s">
        <v>63</v>
      </c>
      <c r="K33">
        <v>36</v>
      </c>
      <c r="L33">
        <v>47.36</v>
      </c>
      <c r="M33">
        <v>5</v>
      </c>
      <c r="N33" s="15">
        <f t="shared" si="0"/>
        <v>1704.96</v>
      </c>
      <c r="O33" t="s">
        <v>28</v>
      </c>
      <c r="P33" t="s">
        <v>71</v>
      </c>
      <c r="Q33" t="s">
        <v>30</v>
      </c>
      <c r="R33" t="s">
        <v>31</v>
      </c>
      <c r="S33">
        <v>4</v>
      </c>
      <c r="T33" t="s">
        <v>127</v>
      </c>
    </row>
    <row r="34" spans="1:20">
      <c r="A34">
        <v>33</v>
      </c>
      <c r="B34" s="14">
        <v>45924</v>
      </c>
      <c r="C34" t="s">
        <v>85</v>
      </c>
      <c r="D34" t="s">
        <v>124</v>
      </c>
      <c r="E34" t="s">
        <v>67</v>
      </c>
      <c r="F34" t="s">
        <v>23</v>
      </c>
      <c r="G34" t="s">
        <v>81</v>
      </c>
      <c r="H34" t="s">
        <v>58</v>
      </c>
      <c r="I34" t="s">
        <v>53</v>
      </c>
      <c r="J34" t="s">
        <v>39</v>
      </c>
      <c r="K34">
        <v>18</v>
      </c>
      <c r="L34">
        <v>36.91</v>
      </c>
      <c r="M34">
        <v>0</v>
      </c>
      <c r="N34" s="15">
        <f t="shared" si="0"/>
        <v>664.38</v>
      </c>
      <c r="O34" t="s">
        <v>28</v>
      </c>
      <c r="P34" t="s">
        <v>64</v>
      </c>
      <c r="Q34" t="s">
        <v>76</v>
      </c>
      <c r="R34" t="s">
        <v>31</v>
      </c>
      <c r="S34">
        <v>4</v>
      </c>
      <c r="T34" t="s">
        <v>125</v>
      </c>
    </row>
    <row r="35" spans="1:20">
      <c r="A35">
        <v>34</v>
      </c>
      <c r="B35" s="14">
        <v>46019</v>
      </c>
      <c r="C35" t="s">
        <v>50</v>
      </c>
      <c r="D35" t="s">
        <v>124</v>
      </c>
      <c r="E35" t="s">
        <v>97</v>
      </c>
      <c r="F35" t="s">
        <v>44</v>
      </c>
      <c r="G35" t="s">
        <v>45</v>
      </c>
      <c r="H35" t="s">
        <v>58</v>
      </c>
      <c r="I35" t="s">
        <v>38</v>
      </c>
      <c r="J35" t="s">
        <v>63</v>
      </c>
      <c r="K35">
        <v>4</v>
      </c>
      <c r="L35">
        <v>24.65</v>
      </c>
      <c r="M35">
        <v>15</v>
      </c>
      <c r="N35" s="15">
        <f t="shared" si="0"/>
        <v>98.6</v>
      </c>
      <c r="O35" t="s">
        <v>28</v>
      </c>
      <c r="P35" t="s">
        <v>71</v>
      </c>
      <c r="Q35" t="s">
        <v>76</v>
      </c>
      <c r="R35" t="s">
        <v>42</v>
      </c>
      <c r="S35">
        <v>1</v>
      </c>
      <c r="T35" t="s">
        <v>127</v>
      </c>
    </row>
    <row r="36" spans="1:20">
      <c r="A36">
        <v>35</v>
      </c>
      <c r="B36" s="14">
        <v>45810</v>
      </c>
      <c r="C36" t="s">
        <v>50</v>
      </c>
      <c r="D36" t="s">
        <v>133</v>
      </c>
      <c r="E36" t="s">
        <v>97</v>
      </c>
      <c r="F36" t="s">
        <v>91</v>
      </c>
      <c r="G36" t="s">
        <v>128</v>
      </c>
      <c r="H36" t="s">
        <v>58</v>
      </c>
      <c r="I36" t="s">
        <v>47</v>
      </c>
      <c r="J36" t="s">
        <v>39</v>
      </c>
      <c r="K36">
        <v>32</v>
      </c>
      <c r="L36">
        <v>25.85</v>
      </c>
      <c r="M36">
        <v>15</v>
      </c>
      <c r="N36" s="15">
        <f t="shared" si="0"/>
        <v>827.2</v>
      </c>
      <c r="O36" t="s">
        <v>28</v>
      </c>
      <c r="P36" t="s">
        <v>71</v>
      </c>
      <c r="Q36" t="s">
        <v>76</v>
      </c>
      <c r="R36" t="s">
        <v>42</v>
      </c>
      <c r="S36">
        <v>4</v>
      </c>
      <c r="T36" t="s">
        <v>131</v>
      </c>
    </row>
    <row r="37" spans="1:20">
      <c r="A37">
        <v>36</v>
      </c>
      <c r="B37" s="14">
        <v>45742</v>
      </c>
      <c r="C37" t="s">
        <v>50</v>
      </c>
      <c r="D37" t="s">
        <v>133</v>
      </c>
      <c r="E37" t="s">
        <v>89</v>
      </c>
      <c r="F37" t="s">
        <v>91</v>
      </c>
      <c r="G37" t="s">
        <v>68</v>
      </c>
      <c r="H37" t="s">
        <v>58</v>
      </c>
      <c r="I37" t="s">
        <v>38</v>
      </c>
      <c r="J37" t="s">
        <v>27</v>
      </c>
      <c r="K37">
        <v>6</v>
      </c>
      <c r="L37">
        <v>66.06</v>
      </c>
      <c r="M37">
        <v>5</v>
      </c>
      <c r="N37" s="15">
        <f t="shared" si="0"/>
        <v>396.36</v>
      </c>
      <c r="O37" t="s">
        <v>28</v>
      </c>
      <c r="P37" t="s">
        <v>64</v>
      </c>
      <c r="Q37" t="s">
        <v>30</v>
      </c>
      <c r="R37" t="s">
        <v>42</v>
      </c>
      <c r="S37">
        <v>4</v>
      </c>
      <c r="T37" t="s">
        <v>127</v>
      </c>
    </row>
    <row r="38" spans="1:20">
      <c r="A38">
        <v>37</v>
      </c>
      <c r="B38" s="14">
        <v>45766</v>
      </c>
      <c r="C38" t="s">
        <v>85</v>
      </c>
      <c r="D38" t="s">
        <v>129</v>
      </c>
      <c r="E38" t="s">
        <v>82</v>
      </c>
      <c r="F38" t="s">
        <v>44</v>
      </c>
      <c r="G38" t="s">
        <v>45</v>
      </c>
      <c r="H38" t="s">
        <v>73</v>
      </c>
      <c r="I38" t="s">
        <v>53</v>
      </c>
      <c r="J38" t="s">
        <v>27</v>
      </c>
      <c r="K38">
        <v>31</v>
      </c>
      <c r="L38">
        <v>6.84</v>
      </c>
      <c r="M38">
        <v>0</v>
      </c>
      <c r="N38" s="15">
        <f t="shared" si="0"/>
        <v>212.04</v>
      </c>
      <c r="O38" t="s">
        <v>28</v>
      </c>
      <c r="P38" t="s">
        <v>132</v>
      </c>
      <c r="Q38" t="s">
        <v>76</v>
      </c>
      <c r="R38" t="s">
        <v>42</v>
      </c>
      <c r="S38">
        <v>1</v>
      </c>
      <c r="T38" t="s">
        <v>131</v>
      </c>
    </row>
    <row r="39" spans="1:20">
      <c r="A39">
        <v>38</v>
      </c>
      <c r="B39" s="14">
        <v>45673</v>
      </c>
      <c r="C39" t="s">
        <v>50</v>
      </c>
      <c r="D39" t="s">
        <v>61</v>
      </c>
      <c r="E39" t="s">
        <v>35</v>
      </c>
      <c r="F39" t="s">
        <v>91</v>
      </c>
      <c r="G39" t="s">
        <v>24</v>
      </c>
      <c r="H39" t="s">
        <v>25</v>
      </c>
      <c r="I39" t="s">
        <v>26</v>
      </c>
      <c r="J39" t="s">
        <v>63</v>
      </c>
      <c r="K39">
        <v>43</v>
      </c>
      <c r="L39">
        <v>15.87</v>
      </c>
      <c r="M39">
        <v>5</v>
      </c>
      <c r="N39" s="15">
        <f t="shared" si="0"/>
        <v>682.41</v>
      </c>
      <c r="O39" t="s">
        <v>28</v>
      </c>
      <c r="P39" t="s">
        <v>132</v>
      </c>
      <c r="Q39" t="s">
        <v>30</v>
      </c>
      <c r="R39" t="s">
        <v>31</v>
      </c>
      <c r="S39">
        <v>5</v>
      </c>
      <c r="T39" t="s">
        <v>131</v>
      </c>
    </row>
    <row r="40" spans="1:20">
      <c r="A40">
        <v>39</v>
      </c>
      <c r="B40" s="14">
        <v>45741</v>
      </c>
      <c r="C40" t="s">
        <v>60</v>
      </c>
      <c r="D40" t="s">
        <v>124</v>
      </c>
      <c r="E40" t="s">
        <v>98</v>
      </c>
      <c r="F40" t="s">
        <v>44</v>
      </c>
      <c r="G40" t="s">
        <v>45</v>
      </c>
      <c r="H40" t="s">
        <v>58</v>
      </c>
      <c r="I40" t="s">
        <v>38</v>
      </c>
      <c r="J40" t="s">
        <v>63</v>
      </c>
      <c r="K40">
        <v>46</v>
      </c>
      <c r="L40">
        <v>23.84</v>
      </c>
      <c r="M40">
        <v>0</v>
      </c>
      <c r="N40" s="15">
        <f t="shared" si="0"/>
        <v>1096.64</v>
      </c>
      <c r="O40" t="s">
        <v>40</v>
      </c>
      <c r="P40" t="s">
        <v>71</v>
      </c>
      <c r="Q40" t="s">
        <v>30</v>
      </c>
      <c r="R40" t="s">
        <v>42</v>
      </c>
      <c r="S40">
        <v>5</v>
      </c>
      <c r="T40" t="s">
        <v>131</v>
      </c>
    </row>
    <row r="41" spans="1:20">
      <c r="A41">
        <v>40</v>
      </c>
      <c r="B41" s="14">
        <v>45947</v>
      </c>
      <c r="C41" t="s">
        <v>50</v>
      </c>
      <c r="D41" t="s">
        <v>124</v>
      </c>
      <c r="E41" t="s">
        <v>84</v>
      </c>
      <c r="F41" t="s">
        <v>91</v>
      </c>
      <c r="G41" t="s">
        <v>81</v>
      </c>
      <c r="H41" t="s">
        <v>46</v>
      </c>
      <c r="I41" t="s">
        <v>74</v>
      </c>
      <c r="J41" t="s">
        <v>48</v>
      </c>
      <c r="K41">
        <v>1</v>
      </c>
      <c r="L41">
        <v>85.71</v>
      </c>
      <c r="M41">
        <v>15</v>
      </c>
      <c r="N41" s="15">
        <f t="shared" si="0"/>
        <v>85.71</v>
      </c>
      <c r="O41" t="s">
        <v>28</v>
      </c>
      <c r="P41" t="s">
        <v>71</v>
      </c>
      <c r="Q41" t="s">
        <v>30</v>
      </c>
      <c r="R41" t="s">
        <v>42</v>
      </c>
      <c r="S41">
        <v>4</v>
      </c>
      <c r="T41" t="s">
        <v>125</v>
      </c>
    </row>
    <row r="42" spans="1:20">
      <c r="A42">
        <v>41</v>
      </c>
      <c r="B42" s="14">
        <v>45880</v>
      </c>
      <c r="C42" t="s">
        <v>50</v>
      </c>
      <c r="D42" t="s">
        <v>124</v>
      </c>
      <c r="E42" t="s">
        <v>99</v>
      </c>
      <c r="F42" t="s">
        <v>130</v>
      </c>
      <c r="G42" t="s">
        <v>45</v>
      </c>
      <c r="H42" t="s">
        <v>58</v>
      </c>
      <c r="I42" t="s">
        <v>47</v>
      </c>
      <c r="J42" t="s">
        <v>63</v>
      </c>
      <c r="K42">
        <v>30</v>
      </c>
      <c r="L42">
        <v>46.38</v>
      </c>
      <c r="M42">
        <v>0</v>
      </c>
      <c r="N42" s="15">
        <f t="shared" si="0"/>
        <v>1391.4</v>
      </c>
      <c r="O42" t="s">
        <v>54</v>
      </c>
      <c r="P42" t="s">
        <v>132</v>
      </c>
      <c r="Q42" t="s">
        <v>76</v>
      </c>
      <c r="R42" t="s">
        <v>31</v>
      </c>
      <c r="S42">
        <v>3</v>
      </c>
      <c r="T42" t="s">
        <v>131</v>
      </c>
    </row>
    <row r="43" spans="1:20">
      <c r="A43">
        <v>42</v>
      </c>
      <c r="B43" s="14">
        <v>45782</v>
      </c>
      <c r="C43" t="s">
        <v>50</v>
      </c>
      <c r="D43" t="s">
        <v>133</v>
      </c>
      <c r="E43" t="s">
        <v>100</v>
      </c>
      <c r="F43" t="s">
        <v>91</v>
      </c>
      <c r="G43" t="s">
        <v>128</v>
      </c>
      <c r="H43" t="s">
        <v>73</v>
      </c>
      <c r="I43" t="s">
        <v>53</v>
      </c>
      <c r="J43" t="s">
        <v>27</v>
      </c>
      <c r="K43">
        <v>32</v>
      </c>
      <c r="L43">
        <v>85.84</v>
      </c>
      <c r="M43">
        <v>5</v>
      </c>
      <c r="N43" s="15">
        <f t="shared" si="0"/>
        <v>2746.88</v>
      </c>
      <c r="O43" t="s">
        <v>28</v>
      </c>
      <c r="P43" t="s">
        <v>64</v>
      </c>
      <c r="Q43" t="s">
        <v>30</v>
      </c>
      <c r="R43" t="s">
        <v>42</v>
      </c>
      <c r="S43">
        <v>3</v>
      </c>
      <c r="T43" t="s">
        <v>127</v>
      </c>
    </row>
    <row r="44" spans="1:20">
      <c r="A44">
        <v>43</v>
      </c>
      <c r="B44" s="14">
        <v>45963</v>
      </c>
      <c r="C44" t="s">
        <v>20</v>
      </c>
      <c r="D44" t="s">
        <v>129</v>
      </c>
      <c r="E44" t="s">
        <v>96</v>
      </c>
      <c r="F44" t="s">
        <v>44</v>
      </c>
      <c r="G44" t="s">
        <v>68</v>
      </c>
      <c r="H44" t="s">
        <v>25</v>
      </c>
      <c r="I44" t="s">
        <v>74</v>
      </c>
      <c r="J44" t="s">
        <v>39</v>
      </c>
      <c r="K44">
        <v>47</v>
      </c>
      <c r="L44">
        <v>43.61</v>
      </c>
      <c r="M44">
        <v>0</v>
      </c>
      <c r="N44" s="15">
        <f t="shared" si="0"/>
        <v>2049.67</v>
      </c>
      <c r="O44" t="s">
        <v>40</v>
      </c>
      <c r="P44" t="s">
        <v>71</v>
      </c>
      <c r="Q44" t="s">
        <v>76</v>
      </c>
      <c r="R44" t="s">
        <v>42</v>
      </c>
      <c r="S44">
        <v>1</v>
      </c>
      <c r="T44" t="s">
        <v>131</v>
      </c>
    </row>
    <row r="45" spans="1:20">
      <c r="A45">
        <v>44</v>
      </c>
      <c r="B45" s="14">
        <v>45808</v>
      </c>
      <c r="C45" t="s">
        <v>50</v>
      </c>
      <c r="D45" t="s">
        <v>133</v>
      </c>
      <c r="E45" t="s">
        <v>57</v>
      </c>
      <c r="F45" t="s">
        <v>91</v>
      </c>
      <c r="G45" t="s">
        <v>45</v>
      </c>
      <c r="H45" t="s">
        <v>58</v>
      </c>
      <c r="I45" t="s">
        <v>53</v>
      </c>
      <c r="J45" t="s">
        <v>63</v>
      </c>
      <c r="K45">
        <v>36</v>
      </c>
      <c r="L45">
        <v>55.44</v>
      </c>
      <c r="M45">
        <v>15</v>
      </c>
      <c r="N45" s="15">
        <f t="shared" si="0"/>
        <v>1995.84</v>
      </c>
      <c r="O45" t="s">
        <v>54</v>
      </c>
      <c r="P45" t="s">
        <v>132</v>
      </c>
      <c r="Q45" t="s">
        <v>76</v>
      </c>
      <c r="R45" t="s">
        <v>42</v>
      </c>
      <c r="S45">
        <v>3</v>
      </c>
      <c r="T45" t="s">
        <v>127</v>
      </c>
    </row>
    <row r="46" spans="1:20">
      <c r="A46">
        <v>45</v>
      </c>
      <c r="B46" s="14">
        <v>45776</v>
      </c>
      <c r="C46" t="s">
        <v>20</v>
      </c>
      <c r="D46" t="s">
        <v>124</v>
      </c>
      <c r="E46" t="s">
        <v>101</v>
      </c>
      <c r="F46" t="s">
        <v>23</v>
      </c>
      <c r="G46" t="s">
        <v>88</v>
      </c>
      <c r="H46" t="s">
        <v>58</v>
      </c>
      <c r="I46" t="s">
        <v>26</v>
      </c>
      <c r="J46" t="s">
        <v>39</v>
      </c>
      <c r="K46">
        <v>14</v>
      </c>
      <c r="L46">
        <v>75.17</v>
      </c>
      <c r="M46">
        <v>10</v>
      </c>
      <c r="N46" s="15">
        <f t="shared" si="0"/>
        <v>1052.38</v>
      </c>
      <c r="O46" t="s">
        <v>54</v>
      </c>
      <c r="P46" t="s">
        <v>71</v>
      </c>
      <c r="Q46" t="s">
        <v>76</v>
      </c>
      <c r="R46" t="s">
        <v>42</v>
      </c>
      <c r="S46">
        <v>2</v>
      </c>
      <c r="T46" t="s">
        <v>127</v>
      </c>
    </row>
    <row r="47" spans="1:20">
      <c r="A47">
        <v>46</v>
      </c>
      <c r="B47" s="14">
        <v>45749</v>
      </c>
      <c r="C47" t="s">
        <v>60</v>
      </c>
      <c r="D47" t="s">
        <v>124</v>
      </c>
      <c r="E47" t="s">
        <v>102</v>
      </c>
      <c r="F47" t="s">
        <v>91</v>
      </c>
      <c r="G47" t="s">
        <v>24</v>
      </c>
      <c r="H47" t="s">
        <v>46</v>
      </c>
      <c r="I47" t="s">
        <v>74</v>
      </c>
      <c r="J47" t="s">
        <v>27</v>
      </c>
      <c r="K47">
        <v>36</v>
      </c>
      <c r="L47">
        <v>32.75</v>
      </c>
      <c r="M47">
        <v>5</v>
      </c>
      <c r="N47" s="15">
        <f t="shared" si="0"/>
        <v>1179</v>
      </c>
      <c r="O47" t="s">
        <v>28</v>
      </c>
      <c r="P47" t="s">
        <v>71</v>
      </c>
      <c r="Q47" t="s">
        <v>30</v>
      </c>
      <c r="R47" t="s">
        <v>42</v>
      </c>
      <c r="S47">
        <v>3</v>
      </c>
      <c r="T47" t="s">
        <v>131</v>
      </c>
    </row>
    <row r="48" spans="1:20">
      <c r="A48">
        <v>47</v>
      </c>
      <c r="B48" s="14">
        <v>45903</v>
      </c>
      <c r="C48" t="s">
        <v>85</v>
      </c>
      <c r="D48" t="s">
        <v>129</v>
      </c>
      <c r="E48" t="s">
        <v>92</v>
      </c>
      <c r="F48" t="s">
        <v>44</v>
      </c>
      <c r="G48" t="s">
        <v>45</v>
      </c>
      <c r="H48" t="s">
        <v>73</v>
      </c>
      <c r="I48" t="s">
        <v>74</v>
      </c>
      <c r="J48" t="s">
        <v>27</v>
      </c>
      <c r="K48">
        <v>26</v>
      </c>
      <c r="L48">
        <v>51.72</v>
      </c>
      <c r="M48">
        <v>0</v>
      </c>
      <c r="N48" s="15">
        <f t="shared" si="0"/>
        <v>1344.72</v>
      </c>
      <c r="O48" t="s">
        <v>28</v>
      </c>
      <c r="P48" t="s">
        <v>64</v>
      </c>
      <c r="Q48" t="s">
        <v>76</v>
      </c>
      <c r="R48" t="s">
        <v>42</v>
      </c>
      <c r="S48">
        <v>3</v>
      </c>
      <c r="T48" t="s">
        <v>131</v>
      </c>
    </row>
    <row r="49" spans="1:20">
      <c r="A49">
        <v>48</v>
      </c>
      <c r="B49" s="14">
        <v>45785</v>
      </c>
      <c r="C49" t="s">
        <v>20</v>
      </c>
      <c r="D49" t="s">
        <v>126</v>
      </c>
      <c r="E49" t="s">
        <v>79</v>
      </c>
      <c r="F49" t="s">
        <v>44</v>
      </c>
      <c r="G49" t="s">
        <v>68</v>
      </c>
      <c r="H49" t="s">
        <v>58</v>
      </c>
      <c r="I49" t="s">
        <v>47</v>
      </c>
      <c r="J49" t="s">
        <v>39</v>
      </c>
      <c r="K49">
        <v>50</v>
      </c>
      <c r="L49">
        <v>54.64</v>
      </c>
      <c r="M49">
        <v>15</v>
      </c>
      <c r="N49" s="15">
        <f t="shared" si="0"/>
        <v>2732</v>
      </c>
      <c r="O49" t="s">
        <v>28</v>
      </c>
      <c r="P49" t="s">
        <v>132</v>
      </c>
      <c r="Q49" t="s">
        <v>76</v>
      </c>
      <c r="R49" t="s">
        <v>42</v>
      </c>
      <c r="S49">
        <v>5</v>
      </c>
      <c r="T49" t="s">
        <v>131</v>
      </c>
    </row>
    <row r="50" spans="1:20">
      <c r="A50">
        <v>49</v>
      </c>
      <c r="B50" s="14">
        <v>45970</v>
      </c>
      <c r="C50" t="s">
        <v>20</v>
      </c>
      <c r="D50" t="s">
        <v>124</v>
      </c>
      <c r="E50" t="s">
        <v>79</v>
      </c>
      <c r="F50" t="s">
        <v>91</v>
      </c>
      <c r="G50" t="s">
        <v>128</v>
      </c>
      <c r="H50" t="s">
        <v>25</v>
      </c>
      <c r="I50" t="s">
        <v>53</v>
      </c>
      <c r="J50" t="s">
        <v>27</v>
      </c>
      <c r="K50">
        <v>11</v>
      </c>
      <c r="L50">
        <v>27.79</v>
      </c>
      <c r="M50">
        <v>0</v>
      </c>
      <c r="N50" s="15">
        <f t="shared" si="0"/>
        <v>305.69</v>
      </c>
      <c r="O50" t="s">
        <v>28</v>
      </c>
      <c r="P50" t="s">
        <v>64</v>
      </c>
      <c r="Q50" t="s">
        <v>30</v>
      </c>
      <c r="R50" t="s">
        <v>42</v>
      </c>
      <c r="S50">
        <v>4</v>
      </c>
      <c r="T50" t="s">
        <v>131</v>
      </c>
    </row>
    <row r="51" spans="1:20">
      <c r="A51">
        <v>50</v>
      </c>
      <c r="B51" s="14">
        <v>45807</v>
      </c>
      <c r="C51" t="s">
        <v>20</v>
      </c>
      <c r="D51" t="s">
        <v>61</v>
      </c>
      <c r="E51" t="s">
        <v>72</v>
      </c>
      <c r="F51" t="s">
        <v>130</v>
      </c>
      <c r="G51" t="s">
        <v>45</v>
      </c>
      <c r="H51" t="s">
        <v>73</v>
      </c>
      <c r="I51" t="s">
        <v>74</v>
      </c>
      <c r="J51" t="s">
        <v>39</v>
      </c>
      <c r="K51">
        <v>17</v>
      </c>
      <c r="L51">
        <v>79.84</v>
      </c>
      <c r="M51">
        <v>0</v>
      </c>
      <c r="N51" s="15">
        <f t="shared" si="0"/>
        <v>1357.28</v>
      </c>
      <c r="O51" t="s">
        <v>40</v>
      </c>
      <c r="P51" t="s">
        <v>71</v>
      </c>
      <c r="Q51" t="s">
        <v>30</v>
      </c>
      <c r="R51" t="s">
        <v>42</v>
      </c>
      <c r="S51">
        <v>2</v>
      </c>
      <c r="T51" t="s">
        <v>125</v>
      </c>
    </row>
    <row r="52" spans="1:20">
      <c r="A52">
        <v>51</v>
      </c>
      <c r="B52" s="14">
        <v>45794</v>
      </c>
      <c r="C52" t="s">
        <v>50</v>
      </c>
      <c r="D52" t="s">
        <v>61</v>
      </c>
      <c r="E52" t="s">
        <v>52</v>
      </c>
      <c r="F52" t="s">
        <v>44</v>
      </c>
      <c r="G52" t="s">
        <v>24</v>
      </c>
      <c r="H52" t="s">
        <v>46</v>
      </c>
      <c r="I52" t="s">
        <v>47</v>
      </c>
      <c r="J52" t="s">
        <v>48</v>
      </c>
      <c r="K52">
        <v>29</v>
      </c>
      <c r="L52">
        <v>16.81</v>
      </c>
      <c r="M52">
        <v>10</v>
      </c>
      <c r="N52" s="15">
        <f t="shared" si="0"/>
        <v>487.49</v>
      </c>
      <c r="O52" t="s">
        <v>28</v>
      </c>
      <c r="P52" t="s">
        <v>132</v>
      </c>
      <c r="Q52" t="s">
        <v>76</v>
      </c>
      <c r="R52" t="s">
        <v>42</v>
      </c>
      <c r="S52">
        <v>1</v>
      </c>
      <c r="T52" t="s">
        <v>131</v>
      </c>
    </row>
    <row r="53" spans="1:20">
      <c r="A53">
        <v>52</v>
      </c>
      <c r="B53" s="14">
        <v>45879</v>
      </c>
      <c r="C53" t="s">
        <v>20</v>
      </c>
      <c r="D53" t="s">
        <v>129</v>
      </c>
      <c r="E53" t="s">
        <v>95</v>
      </c>
      <c r="F53" t="s">
        <v>23</v>
      </c>
      <c r="G53" t="s">
        <v>88</v>
      </c>
      <c r="H53" t="s">
        <v>58</v>
      </c>
      <c r="I53" t="s">
        <v>26</v>
      </c>
      <c r="J53" t="s">
        <v>27</v>
      </c>
      <c r="K53">
        <v>49</v>
      </c>
      <c r="L53">
        <v>68.87</v>
      </c>
      <c r="M53">
        <v>10</v>
      </c>
      <c r="N53" s="15">
        <f t="shared" si="0"/>
        <v>3374.63</v>
      </c>
      <c r="O53" t="s">
        <v>28</v>
      </c>
      <c r="P53" t="s">
        <v>64</v>
      </c>
      <c r="Q53" t="s">
        <v>76</v>
      </c>
      <c r="R53" t="s">
        <v>42</v>
      </c>
      <c r="S53">
        <v>5</v>
      </c>
      <c r="T53" t="s">
        <v>131</v>
      </c>
    </row>
    <row r="54" spans="1:20">
      <c r="A54">
        <v>53</v>
      </c>
      <c r="B54" s="14">
        <v>45800</v>
      </c>
      <c r="C54" t="s">
        <v>50</v>
      </c>
      <c r="D54" t="s">
        <v>126</v>
      </c>
      <c r="E54" t="s">
        <v>103</v>
      </c>
      <c r="F54" t="s">
        <v>130</v>
      </c>
      <c r="G54" t="s">
        <v>81</v>
      </c>
      <c r="H54" t="s">
        <v>58</v>
      </c>
      <c r="I54" t="s">
        <v>38</v>
      </c>
      <c r="J54" t="s">
        <v>48</v>
      </c>
      <c r="K54">
        <v>27</v>
      </c>
      <c r="L54">
        <v>36.66</v>
      </c>
      <c r="M54">
        <v>0</v>
      </c>
      <c r="N54" s="15">
        <f t="shared" si="0"/>
        <v>989.82</v>
      </c>
      <c r="O54" t="s">
        <v>40</v>
      </c>
      <c r="P54" t="s">
        <v>132</v>
      </c>
      <c r="Q54" t="s">
        <v>76</v>
      </c>
      <c r="R54" t="s">
        <v>42</v>
      </c>
      <c r="S54">
        <v>4</v>
      </c>
      <c r="T54" t="s">
        <v>127</v>
      </c>
    </row>
    <row r="55" spans="1:20">
      <c r="A55">
        <v>54</v>
      </c>
      <c r="B55" s="14">
        <v>45997</v>
      </c>
      <c r="C55" t="s">
        <v>85</v>
      </c>
      <c r="D55" t="s">
        <v>61</v>
      </c>
      <c r="E55" t="s">
        <v>79</v>
      </c>
      <c r="F55" t="s">
        <v>91</v>
      </c>
      <c r="G55" t="s">
        <v>88</v>
      </c>
      <c r="H55" t="s">
        <v>73</v>
      </c>
      <c r="I55" t="s">
        <v>74</v>
      </c>
      <c r="J55" t="s">
        <v>48</v>
      </c>
      <c r="K55">
        <v>17</v>
      </c>
      <c r="L55">
        <v>35.71</v>
      </c>
      <c r="M55">
        <v>15</v>
      </c>
      <c r="N55" s="15">
        <f t="shared" si="0"/>
        <v>607.07</v>
      </c>
      <c r="O55" t="s">
        <v>28</v>
      </c>
      <c r="P55" t="s">
        <v>71</v>
      </c>
      <c r="Q55" t="s">
        <v>76</v>
      </c>
      <c r="R55" t="s">
        <v>31</v>
      </c>
      <c r="S55">
        <v>2</v>
      </c>
      <c r="T55" t="s">
        <v>127</v>
      </c>
    </row>
    <row r="56" spans="1:20">
      <c r="A56">
        <v>55</v>
      </c>
      <c r="B56" s="14">
        <v>45976</v>
      </c>
      <c r="C56" t="s">
        <v>50</v>
      </c>
      <c r="D56" t="s">
        <v>133</v>
      </c>
      <c r="E56" t="s">
        <v>104</v>
      </c>
      <c r="F56" t="s">
        <v>44</v>
      </c>
      <c r="G56" t="s">
        <v>88</v>
      </c>
      <c r="H56" t="s">
        <v>25</v>
      </c>
      <c r="I56" t="s">
        <v>53</v>
      </c>
      <c r="J56" t="s">
        <v>39</v>
      </c>
      <c r="K56">
        <v>19</v>
      </c>
      <c r="L56">
        <v>46.62</v>
      </c>
      <c r="M56">
        <v>15</v>
      </c>
      <c r="N56" s="15">
        <f t="shared" si="0"/>
        <v>885.78</v>
      </c>
      <c r="O56" t="s">
        <v>28</v>
      </c>
      <c r="P56" t="s">
        <v>71</v>
      </c>
      <c r="Q56" t="s">
        <v>76</v>
      </c>
      <c r="R56" t="s">
        <v>42</v>
      </c>
      <c r="S56">
        <v>2</v>
      </c>
      <c r="T56" t="s">
        <v>127</v>
      </c>
    </row>
    <row r="57" spans="1:20">
      <c r="A57">
        <v>56</v>
      </c>
      <c r="B57" s="14">
        <v>45940</v>
      </c>
      <c r="C57" t="s">
        <v>20</v>
      </c>
      <c r="D57" t="s">
        <v>126</v>
      </c>
      <c r="E57" t="s">
        <v>97</v>
      </c>
      <c r="F57" t="s">
        <v>44</v>
      </c>
      <c r="G57" t="s">
        <v>24</v>
      </c>
      <c r="H57" t="s">
        <v>58</v>
      </c>
      <c r="I57" t="s">
        <v>38</v>
      </c>
      <c r="J57" t="s">
        <v>27</v>
      </c>
      <c r="K57">
        <v>42</v>
      </c>
      <c r="L57">
        <v>84.05</v>
      </c>
      <c r="M57">
        <v>15</v>
      </c>
      <c r="N57" s="15">
        <f t="shared" si="0"/>
        <v>3530.1</v>
      </c>
      <c r="O57" t="s">
        <v>54</v>
      </c>
      <c r="P57" t="s">
        <v>132</v>
      </c>
      <c r="Q57" t="s">
        <v>76</v>
      </c>
      <c r="R57" t="s">
        <v>42</v>
      </c>
      <c r="S57">
        <v>4</v>
      </c>
      <c r="T57" t="s">
        <v>125</v>
      </c>
    </row>
    <row r="58" spans="1:20">
      <c r="A58">
        <v>57</v>
      </c>
      <c r="B58" s="14">
        <v>45891</v>
      </c>
      <c r="C58" t="s">
        <v>33</v>
      </c>
      <c r="D58" t="s">
        <v>61</v>
      </c>
      <c r="E58" t="s">
        <v>43</v>
      </c>
      <c r="F58" t="s">
        <v>91</v>
      </c>
      <c r="G58" t="s">
        <v>68</v>
      </c>
      <c r="H58" t="s">
        <v>58</v>
      </c>
      <c r="I58" t="s">
        <v>26</v>
      </c>
      <c r="J58" t="s">
        <v>27</v>
      </c>
      <c r="K58">
        <v>18</v>
      </c>
      <c r="L58">
        <v>78.4</v>
      </c>
      <c r="M58">
        <v>15</v>
      </c>
      <c r="N58" s="15">
        <f t="shared" si="0"/>
        <v>1411.2</v>
      </c>
      <c r="O58" t="s">
        <v>54</v>
      </c>
      <c r="P58" t="s">
        <v>132</v>
      </c>
      <c r="Q58" t="s">
        <v>30</v>
      </c>
      <c r="R58" t="s">
        <v>42</v>
      </c>
      <c r="S58">
        <v>4</v>
      </c>
      <c r="T58" t="s">
        <v>127</v>
      </c>
    </row>
    <row r="59" spans="1:20">
      <c r="A59">
        <v>58</v>
      </c>
      <c r="B59" s="14">
        <v>45958</v>
      </c>
      <c r="C59" t="s">
        <v>33</v>
      </c>
      <c r="D59" t="s">
        <v>124</v>
      </c>
      <c r="E59" t="s">
        <v>105</v>
      </c>
      <c r="F59" t="s">
        <v>91</v>
      </c>
      <c r="G59" t="s">
        <v>81</v>
      </c>
      <c r="H59" t="s">
        <v>58</v>
      </c>
      <c r="I59" t="s">
        <v>38</v>
      </c>
      <c r="J59" t="s">
        <v>48</v>
      </c>
      <c r="K59">
        <v>22</v>
      </c>
      <c r="L59">
        <v>57.43</v>
      </c>
      <c r="M59">
        <v>0</v>
      </c>
      <c r="N59" s="15">
        <f t="shared" si="0"/>
        <v>1263.46</v>
      </c>
      <c r="O59" t="s">
        <v>28</v>
      </c>
      <c r="P59" t="s">
        <v>71</v>
      </c>
      <c r="Q59" t="s">
        <v>30</v>
      </c>
      <c r="R59" t="s">
        <v>31</v>
      </c>
      <c r="S59">
        <v>5</v>
      </c>
      <c r="T59" t="s">
        <v>125</v>
      </c>
    </row>
    <row r="60" spans="1:20">
      <c r="A60">
        <v>59</v>
      </c>
      <c r="B60" s="14">
        <v>45950</v>
      </c>
      <c r="C60" t="s">
        <v>85</v>
      </c>
      <c r="D60" t="s">
        <v>61</v>
      </c>
      <c r="E60" t="s">
        <v>62</v>
      </c>
      <c r="F60" t="s">
        <v>44</v>
      </c>
      <c r="G60" t="s">
        <v>88</v>
      </c>
      <c r="H60" t="s">
        <v>46</v>
      </c>
      <c r="I60" t="s">
        <v>38</v>
      </c>
      <c r="J60" t="s">
        <v>63</v>
      </c>
      <c r="K60">
        <v>25</v>
      </c>
      <c r="L60">
        <v>98.9</v>
      </c>
      <c r="M60">
        <v>5</v>
      </c>
      <c r="N60" s="15">
        <f t="shared" si="0"/>
        <v>2472.5</v>
      </c>
      <c r="O60" t="s">
        <v>28</v>
      </c>
      <c r="P60" t="s">
        <v>71</v>
      </c>
      <c r="Q60" t="s">
        <v>76</v>
      </c>
      <c r="R60" t="s">
        <v>42</v>
      </c>
      <c r="S60">
        <v>5</v>
      </c>
      <c r="T60" t="s">
        <v>127</v>
      </c>
    </row>
    <row r="61" spans="1:20">
      <c r="A61">
        <v>60</v>
      </c>
      <c r="B61" s="14">
        <v>45709</v>
      </c>
      <c r="C61" t="s">
        <v>50</v>
      </c>
      <c r="D61" t="s">
        <v>61</v>
      </c>
      <c r="E61" t="s">
        <v>80</v>
      </c>
      <c r="F61" t="s">
        <v>44</v>
      </c>
      <c r="G61" t="s">
        <v>68</v>
      </c>
      <c r="H61" t="s">
        <v>73</v>
      </c>
      <c r="I61" t="s">
        <v>74</v>
      </c>
      <c r="J61" t="s">
        <v>39</v>
      </c>
      <c r="K61">
        <v>27</v>
      </c>
      <c r="L61">
        <v>87.74</v>
      </c>
      <c r="M61">
        <v>5</v>
      </c>
      <c r="N61" s="15">
        <f t="shared" si="0"/>
        <v>2368.98</v>
      </c>
      <c r="O61" t="s">
        <v>28</v>
      </c>
      <c r="P61" t="s">
        <v>71</v>
      </c>
      <c r="Q61" t="s">
        <v>30</v>
      </c>
      <c r="R61" t="s">
        <v>42</v>
      </c>
      <c r="S61">
        <v>5</v>
      </c>
      <c r="T61" t="s">
        <v>131</v>
      </c>
    </row>
    <row r="62" spans="1:20">
      <c r="A62">
        <v>61</v>
      </c>
      <c r="B62" s="14">
        <v>45990</v>
      </c>
      <c r="C62" t="s">
        <v>20</v>
      </c>
      <c r="D62" t="s">
        <v>61</v>
      </c>
      <c r="E62" t="s">
        <v>82</v>
      </c>
      <c r="F62" t="s">
        <v>130</v>
      </c>
      <c r="G62" t="s">
        <v>68</v>
      </c>
      <c r="H62" t="s">
        <v>73</v>
      </c>
      <c r="I62" t="s">
        <v>53</v>
      </c>
      <c r="J62" t="s">
        <v>63</v>
      </c>
      <c r="K62">
        <v>35</v>
      </c>
      <c r="L62">
        <v>8.41</v>
      </c>
      <c r="M62">
        <v>0</v>
      </c>
      <c r="N62" s="15">
        <f t="shared" si="0"/>
        <v>294.35</v>
      </c>
      <c r="O62" t="s">
        <v>40</v>
      </c>
      <c r="P62" t="s">
        <v>132</v>
      </c>
      <c r="Q62" t="s">
        <v>76</v>
      </c>
      <c r="R62" t="s">
        <v>42</v>
      </c>
      <c r="S62">
        <v>1</v>
      </c>
      <c r="T62" t="s">
        <v>131</v>
      </c>
    </row>
    <row r="63" spans="1:20">
      <c r="A63">
        <v>62</v>
      </c>
      <c r="B63" s="14">
        <v>45708</v>
      </c>
      <c r="C63" t="s">
        <v>50</v>
      </c>
      <c r="D63" t="s">
        <v>124</v>
      </c>
      <c r="E63" t="s">
        <v>102</v>
      </c>
      <c r="F63" t="s">
        <v>44</v>
      </c>
      <c r="G63" t="s">
        <v>81</v>
      </c>
      <c r="H63" t="s">
        <v>25</v>
      </c>
      <c r="I63" t="s">
        <v>53</v>
      </c>
      <c r="J63" t="s">
        <v>27</v>
      </c>
      <c r="K63">
        <v>3</v>
      </c>
      <c r="L63">
        <v>35.82</v>
      </c>
      <c r="M63">
        <v>0</v>
      </c>
      <c r="N63" s="15">
        <f t="shared" si="0"/>
        <v>107.46</v>
      </c>
      <c r="O63" t="s">
        <v>54</v>
      </c>
      <c r="P63" t="s">
        <v>132</v>
      </c>
      <c r="Q63" t="s">
        <v>30</v>
      </c>
      <c r="R63" t="s">
        <v>42</v>
      </c>
      <c r="S63">
        <v>2</v>
      </c>
      <c r="T63" t="s">
        <v>125</v>
      </c>
    </row>
    <row r="64" spans="1:20">
      <c r="A64">
        <v>63</v>
      </c>
      <c r="B64" s="14">
        <v>45929</v>
      </c>
      <c r="C64" t="s">
        <v>85</v>
      </c>
      <c r="D64" t="s">
        <v>126</v>
      </c>
      <c r="E64" t="s">
        <v>69</v>
      </c>
      <c r="F64" t="s">
        <v>91</v>
      </c>
      <c r="G64" t="s">
        <v>24</v>
      </c>
      <c r="H64" t="s">
        <v>25</v>
      </c>
      <c r="I64" t="s">
        <v>74</v>
      </c>
      <c r="J64" t="s">
        <v>63</v>
      </c>
      <c r="K64">
        <v>40</v>
      </c>
      <c r="L64">
        <v>69.9</v>
      </c>
      <c r="M64">
        <v>15</v>
      </c>
      <c r="N64" s="15">
        <f t="shared" si="0"/>
        <v>2796</v>
      </c>
      <c r="O64" t="s">
        <v>40</v>
      </c>
      <c r="P64" t="s">
        <v>64</v>
      </c>
      <c r="Q64" t="s">
        <v>76</v>
      </c>
      <c r="R64" t="s">
        <v>42</v>
      </c>
      <c r="S64">
        <v>3</v>
      </c>
      <c r="T64" t="s">
        <v>131</v>
      </c>
    </row>
    <row r="65" spans="1:20">
      <c r="A65">
        <v>64</v>
      </c>
      <c r="B65" s="14">
        <v>45788</v>
      </c>
      <c r="C65" t="s">
        <v>20</v>
      </c>
      <c r="D65" t="s">
        <v>124</v>
      </c>
      <c r="E65" t="s">
        <v>93</v>
      </c>
      <c r="F65" t="s">
        <v>23</v>
      </c>
      <c r="G65" t="s">
        <v>128</v>
      </c>
      <c r="H65" t="s">
        <v>58</v>
      </c>
      <c r="I65" t="s">
        <v>26</v>
      </c>
      <c r="J65" t="s">
        <v>27</v>
      </c>
      <c r="K65">
        <v>29</v>
      </c>
      <c r="L65">
        <v>94.8</v>
      </c>
      <c r="M65">
        <v>0</v>
      </c>
      <c r="N65" s="15">
        <f t="shared" si="0"/>
        <v>2749.2</v>
      </c>
      <c r="O65" t="s">
        <v>54</v>
      </c>
      <c r="P65" t="s">
        <v>71</v>
      </c>
      <c r="Q65" t="s">
        <v>30</v>
      </c>
      <c r="R65" t="s">
        <v>42</v>
      </c>
      <c r="S65">
        <v>3</v>
      </c>
      <c r="T65" t="s">
        <v>125</v>
      </c>
    </row>
    <row r="66" spans="1:20">
      <c r="A66">
        <v>65</v>
      </c>
      <c r="B66" s="14">
        <v>45854</v>
      </c>
      <c r="C66" t="s">
        <v>50</v>
      </c>
      <c r="D66" t="s">
        <v>133</v>
      </c>
      <c r="E66" t="s">
        <v>106</v>
      </c>
      <c r="F66" t="s">
        <v>91</v>
      </c>
      <c r="G66" t="s">
        <v>81</v>
      </c>
      <c r="H66" t="s">
        <v>58</v>
      </c>
      <c r="I66" t="s">
        <v>53</v>
      </c>
      <c r="J66" t="s">
        <v>48</v>
      </c>
      <c r="K66">
        <v>45</v>
      </c>
      <c r="L66">
        <v>33.05</v>
      </c>
      <c r="M66">
        <v>15</v>
      </c>
      <c r="N66" s="15">
        <f t="shared" ref="N66:N129" si="1">PRODUCT(K66,L66)</f>
        <v>1487.25</v>
      </c>
      <c r="O66" t="s">
        <v>54</v>
      </c>
      <c r="P66" t="s">
        <v>71</v>
      </c>
      <c r="Q66" t="s">
        <v>30</v>
      </c>
      <c r="R66" t="s">
        <v>42</v>
      </c>
      <c r="S66">
        <v>4</v>
      </c>
      <c r="T66" t="s">
        <v>131</v>
      </c>
    </row>
    <row r="67" spans="1:20">
      <c r="A67">
        <v>66</v>
      </c>
      <c r="B67" s="14">
        <v>45804</v>
      </c>
      <c r="C67" t="s">
        <v>50</v>
      </c>
      <c r="D67" t="s">
        <v>61</v>
      </c>
      <c r="E67" t="s">
        <v>107</v>
      </c>
      <c r="F67" t="s">
        <v>91</v>
      </c>
      <c r="G67" t="s">
        <v>45</v>
      </c>
      <c r="H67" t="s">
        <v>25</v>
      </c>
      <c r="I67" t="s">
        <v>26</v>
      </c>
      <c r="J67" t="s">
        <v>48</v>
      </c>
      <c r="K67">
        <v>44</v>
      </c>
      <c r="L67">
        <v>76.78</v>
      </c>
      <c r="M67">
        <v>5</v>
      </c>
      <c r="N67" s="15">
        <f t="shared" si="1"/>
        <v>3378.32</v>
      </c>
      <c r="O67" t="s">
        <v>28</v>
      </c>
      <c r="P67" t="s">
        <v>71</v>
      </c>
      <c r="Q67" t="s">
        <v>30</v>
      </c>
      <c r="R67" t="s">
        <v>42</v>
      </c>
      <c r="S67">
        <v>1</v>
      </c>
      <c r="T67" t="s">
        <v>127</v>
      </c>
    </row>
    <row r="68" spans="1:20">
      <c r="A68">
        <v>67</v>
      </c>
      <c r="B68" s="14">
        <v>45725</v>
      </c>
      <c r="C68" t="s">
        <v>20</v>
      </c>
      <c r="D68" t="s">
        <v>129</v>
      </c>
      <c r="E68" t="s">
        <v>108</v>
      </c>
      <c r="F68" t="s">
        <v>130</v>
      </c>
      <c r="G68" t="s">
        <v>81</v>
      </c>
      <c r="H68" t="s">
        <v>25</v>
      </c>
      <c r="I68" t="s">
        <v>26</v>
      </c>
      <c r="J68" t="s">
        <v>39</v>
      </c>
      <c r="K68">
        <v>35</v>
      </c>
      <c r="L68">
        <v>88.26</v>
      </c>
      <c r="M68">
        <v>10</v>
      </c>
      <c r="N68" s="15">
        <f t="shared" si="1"/>
        <v>3089.1</v>
      </c>
      <c r="O68" t="s">
        <v>54</v>
      </c>
      <c r="P68" t="s">
        <v>64</v>
      </c>
      <c r="Q68" t="s">
        <v>30</v>
      </c>
      <c r="R68" t="s">
        <v>42</v>
      </c>
      <c r="S68">
        <v>3</v>
      </c>
      <c r="T68" t="s">
        <v>127</v>
      </c>
    </row>
    <row r="69" spans="1:20">
      <c r="A69">
        <v>68</v>
      </c>
      <c r="B69" s="14">
        <v>45716</v>
      </c>
      <c r="C69" t="s">
        <v>85</v>
      </c>
      <c r="D69" t="s">
        <v>124</v>
      </c>
      <c r="E69" t="s">
        <v>90</v>
      </c>
      <c r="F69" t="s">
        <v>91</v>
      </c>
      <c r="G69" t="s">
        <v>128</v>
      </c>
      <c r="H69" t="s">
        <v>73</v>
      </c>
      <c r="I69" t="s">
        <v>47</v>
      </c>
      <c r="J69" t="s">
        <v>48</v>
      </c>
      <c r="K69">
        <v>6</v>
      </c>
      <c r="L69">
        <v>80.11</v>
      </c>
      <c r="M69">
        <v>0</v>
      </c>
      <c r="N69" s="15">
        <f t="shared" si="1"/>
        <v>480.66</v>
      </c>
      <c r="O69" t="s">
        <v>54</v>
      </c>
      <c r="P69" t="s">
        <v>71</v>
      </c>
      <c r="Q69" t="s">
        <v>76</v>
      </c>
      <c r="R69" t="s">
        <v>42</v>
      </c>
      <c r="S69">
        <v>4</v>
      </c>
      <c r="T69" t="s">
        <v>127</v>
      </c>
    </row>
    <row r="70" spans="1:20">
      <c r="A70">
        <v>69</v>
      </c>
      <c r="B70" s="14">
        <v>45957</v>
      </c>
      <c r="C70" t="s">
        <v>85</v>
      </c>
      <c r="D70" t="s">
        <v>61</v>
      </c>
      <c r="E70" t="s">
        <v>104</v>
      </c>
      <c r="F70" t="s">
        <v>23</v>
      </c>
      <c r="G70" t="s">
        <v>88</v>
      </c>
      <c r="H70" t="s">
        <v>25</v>
      </c>
      <c r="I70" t="s">
        <v>38</v>
      </c>
      <c r="J70" t="s">
        <v>27</v>
      </c>
      <c r="K70">
        <v>40</v>
      </c>
      <c r="L70">
        <v>89</v>
      </c>
      <c r="M70">
        <v>0</v>
      </c>
      <c r="N70" s="15">
        <f t="shared" si="1"/>
        <v>3560</v>
      </c>
      <c r="O70" t="s">
        <v>54</v>
      </c>
      <c r="P70" t="s">
        <v>64</v>
      </c>
      <c r="Q70" t="s">
        <v>30</v>
      </c>
      <c r="R70" t="s">
        <v>42</v>
      </c>
      <c r="S70">
        <v>4</v>
      </c>
      <c r="T70" t="s">
        <v>127</v>
      </c>
    </row>
    <row r="71" spans="1:20">
      <c r="A71">
        <v>70</v>
      </c>
      <c r="B71" s="14">
        <v>45990</v>
      </c>
      <c r="C71" t="s">
        <v>85</v>
      </c>
      <c r="D71" t="s">
        <v>124</v>
      </c>
      <c r="E71" t="s">
        <v>89</v>
      </c>
      <c r="F71" t="s">
        <v>44</v>
      </c>
      <c r="G71" t="s">
        <v>88</v>
      </c>
      <c r="H71" t="s">
        <v>46</v>
      </c>
      <c r="I71" t="s">
        <v>38</v>
      </c>
      <c r="J71" t="s">
        <v>27</v>
      </c>
      <c r="K71">
        <v>7</v>
      </c>
      <c r="L71">
        <v>27.31</v>
      </c>
      <c r="M71">
        <v>0</v>
      </c>
      <c r="N71" s="15">
        <f t="shared" si="1"/>
        <v>191.17</v>
      </c>
      <c r="O71" t="s">
        <v>40</v>
      </c>
      <c r="P71" t="s">
        <v>71</v>
      </c>
      <c r="Q71" t="s">
        <v>76</v>
      </c>
      <c r="R71" t="s">
        <v>42</v>
      </c>
      <c r="S71">
        <v>4</v>
      </c>
      <c r="T71" t="s">
        <v>131</v>
      </c>
    </row>
    <row r="72" spans="1:20">
      <c r="A72">
        <v>71</v>
      </c>
      <c r="B72" s="14">
        <v>45958</v>
      </c>
      <c r="C72" t="s">
        <v>20</v>
      </c>
      <c r="D72" t="s">
        <v>124</v>
      </c>
      <c r="E72" t="s">
        <v>90</v>
      </c>
      <c r="F72" t="s">
        <v>44</v>
      </c>
      <c r="G72" t="s">
        <v>128</v>
      </c>
      <c r="H72" t="s">
        <v>58</v>
      </c>
      <c r="I72" t="s">
        <v>38</v>
      </c>
      <c r="J72" t="s">
        <v>63</v>
      </c>
      <c r="K72">
        <v>18</v>
      </c>
      <c r="L72">
        <v>8.11</v>
      </c>
      <c r="M72">
        <v>10</v>
      </c>
      <c r="N72" s="15">
        <f t="shared" si="1"/>
        <v>145.98</v>
      </c>
      <c r="O72" t="s">
        <v>40</v>
      </c>
      <c r="P72" t="s">
        <v>71</v>
      </c>
      <c r="Q72" t="s">
        <v>76</v>
      </c>
      <c r="R72" t="s">
        <v>31</v>
      </c>
      <c r="S72">
        <v>3</v>
      </c>
      <c r="T72" t="s">
        <v>131</v>
      </c>
    </row>
    <row r="73" spans="1:20">
      <c r="A73">
        <v>72</v>
      </c>
      <c r="B73" s="14">
        <v>46009</v>
      </c>
      <c r="C73" t="s">
        <v>60</v>
      </c>
      <c r="D73" t="s">
        <v>126</v>
      </c>
      <c r="E73" t="s">
        <v>109</v>
      </c>
      <c r="F73" t="s">
        <v>23</v>
      </c>
      <c r="G73" t="s">
        <v>88</v>
      </c>
      <c r="H73" t="s">
        <v>73</v>
      </c>
      <c r="I73" t="s">
        <v>53</v>
      </c>
      <c r="J73" t="s">
        <v>39</v>
      </c>
      <c r="K73">
        <v>8</v>
      </c>
      <c r="L73">
        <v>95.16</v>
      </c>
      <c r="M73">
        <v>15</v>
      </c>
      <c r="N73" s="15">
        <f t="shared" si="1"/>
        <v>761.28</v>
      </c>
      <c r="O73" t="s">
        <v>28</v>
      </c>
      <c r="P73" t="s">
        <v>64</v>
      </c>
      <c r="Q73" t="s">
        <v>30</v>
      </c>
      <c r="R73" t="s">
        <v>31</v>
      </c>
      <c r="S73">
        <v>3</v>
      </c>
      <c r="T73" t="s">
        <v>125</v>
      </c>
    </row>
    <row r="74" spans="1:20">
      <c r="A74">
        <v>73</v>
      </c>
      <c r="B74" s="14">
        <v>45722</v>
      </c>
      <c r="C74" t="s">
        <v>50</v>
      </c>
      <c r="D74" t="s">
        <v>126</v>
      </c>
      <c r="E74" t="s">
        <v>110</v>
      </c>
      <c r="F74" t="s">
        <v>44</v>
      </c>
      <c r="G74" t="s">
        <v>68</v>
      </c>
      <c r="H74" t="s">
        <v>25</v>
      </c>
      <c r="I74" t="s">
        <v>47</v>
      </c>
      <c r="J74" t="s">
        <v>39</v>
      </c>
      <c r="K74">
        <v>15</v>
      </c>
      <c r="L74">
        <v>36.21</v>
      </c>
      <c r="M74">
        <v>5</v>
      </c>
      <c r="N74" s="15">
        <f t="shared" si="1"/>
        <v>543.15</v>
      </c>
      <c r="O74" t="s">
        <v>28</v>
      </c>
      <c r="P74" t="s">
        <v>132</v>
      </c>
      <c r="Q74" t="s">
        <v>76</v>
      </c>
      <c r="R74" t="s">
        <v>31</v>
      </c>
      <c r="S74">
        <v>5</v>
      </c>
      <c r="T74" t="s">
        <v>127</v>
      </c>
    </row>
    <row r="75" spans="1:20">
      <c r="A75">
        <v>74</v>
      </c>
      <c r="B75" s="14">
        <v>45747</v>
      </c>
      <c r="C75" t="s">
        <v>20</v>
      </c>
      <c r="D75" t="s">
        <v>124</v>
      </c>
      <c r="E75" t="s">
        <v>35</v>
      </c>
      <c r="F75" t="s">
        <v>91</v>
      </c>
      <c r="G75" t="s">
        <v>88</v>
      </c>
      <c r="H75" t="s">
        <v>46</v>
      </c>
      <c r="I75" t="s">
        <v>26</v>
      </c>
      <c r="J75" t="s">
        <v>48</v>
      </c>
      <c r="K75">
        <v>2</v>
      </c>
      <c r="L75">
        <v>21.55</v>
      </c>
      <c r="M75">
        <v>0</v>
      </c>
      <c r="N75" s="15">
        <f t="shared" si="1"/>
        <v>43.1</v>
      </c>
      <c r="O75" t="s">
        <v>40</v>
      </c>
      <c r="P75" t="s">
        <v>71</v>
      </c>
      <c r="Q75" t="s">
        <v>30</v>
      </c>
      <c r="R75" t="s">
        <v>42</v>
      </c>
      <c r="S75">
        <v>1</v>
      </c>
      <c r="T75" t="s">
        <v>131</v>
      </c>
    </row>
    <row r="76" spans="1:20">
      <c r="A76">
        <v>75</v>
      </c>
      <c r="B76" s="14">
        <v>45887</v>
      </c>
      <c r="C76" t="s">
        <v>50</v>
      </c>
      <c r="D76" t="s">
        <v>129</v>
      </c>
      <c r="E76" t="s">
        <v>111</v>
      </c>
      <c r="F76" t="s">
        <v>91</v>
      </c>
      <c r="G76" t="s">
        <v>88</v>
      </c>
      <c r="H76" t="s">
        <v>73</v>
      </c>
      <c r="I76" t="s">
        <v>47</v>
      </c>
      <c r="J76" t="s">
        <v>39</v>
      </c>
      <c r="K76">
        <v>40</v>
      </c>
      <c r="L76">
        <v>9.12</v>
      </c>
      <c r="M76">
        <v>0</v>
      </c>
      <c r="N76" s="15">
        <f t="shared" si="1"/>
        <v>364.8</v>
      </c>
      <c r="O76" t="s">
        <v>54</v>
      </c>
      <c r="P76" t="s">
        <v>71</v>
      </c>
      <c r="Q76" t="s">
        <v>30</v>
      </c>
      <c r="R76" t="s">
        <v>31</v>
      </c>
      <c r="S76">
        <v>4</v>
      </c>
      <c r="T76" t="s">
        <v>131</v>
      </c>
    </row>
    <row r="77" spans="1:20">
      <c r="A77">
        <v>76</v>
      </c>
      <c r="B77" s="14">
        <v>45876</v>
      </c>
      <c r="C77" t="s">
        <v>20</v>
      </c>
      <c r="D77" t="s">
        <v>124</v>
      </c>
      <c r="E77" t="s">
        <v>105</v>
      </c>
      <c r="F77" t="s">
        <v>130</v>
      </c>
      <c r="G77" t="s">
        <v>81</v>
      </c>
      <c r="H77" t="s">
        <v>58</v>
      </c>
      <c r="I77" t="s">
        <v>74</v>
      </c>
      <c r="J77" t="s">
        <v>48</v>
      </c>
      <c r="K77">
        <v>39</v>
      </c>
      <c r="L77">
        <v>19.09</v>
      </c>
      <c r="M77">
        <v>5</v>
      </c>
      <c r="N77" s="15">
        <f t="shared" si="1"/>
        <v>744.51</v>
      </c>
      <c r="O77" t="s">
        <v>54</v>
      </c>
      <c r="P77" t="s">
        <v>132</v>
      </c>
      <c r="Q77" t="s">
        <v>76</v>
      </c>
      <c r="R77" t="s">
        <v>42</v>
      </c>
      <c r="S77">
        <v>5</v>
      </c>
      <c r="T77" t="s">
        <v>127</v>
      </c>
    </row>
    <row r="78" spans="1:20">
      <c r="A78">
        <v>77</v>
      </c>
      <c r="B78" s="14">
        <v>45890</v>
      </c>
      <c r="C78" t="s">
        <v>33</v>
      </c>
      <c r="D78" t="s">
        <v>126</v>
      </c>
      <c r="E78" t="s">
        <v>103</v>
      </c>
      <c r="F78" t="s">
        <v>44</v>
      </c>
      <c r="G78" t="s">
        <v>128</v>
      </c>
      <c r="H78" t="s">
        <v>58</v>
      </c>
      <c r="I78" t="s">
        <v>47</v>
      </c>
      <c r="J78" t="s">
        <v>39</v>
      </c>
      <c r="K78">
        <v>28</v>
      </c>
      <c r="L78">
        <v>47.9</v>
      </c>
      <c r="M78">
        <v>5</v>
      </c>
      <c r="N78" s="15">
        <f t="shared" si="1"/>
        <v>1341.2</v>
      </c>
      <c r="O78" t="s">
        <v>28</v>
      </c>
      <c r="P78" t="s">
        <v>132</v>
      </c>
      <c r="Q78" t="s">
        <v>76</v>
      </c>
      <c r="R78" t="s">
        <v>42</v>
      </c>
      <c r="S78">
        <v>4</v>
      </c>
      <c r="T78" t="s">
        <v>131</v>
      </c>
    </row>
    <row r="79" spans="1:20">
      <c r="A79">
        <v>78</v>
      </c>
      <c r="B79" s="14">
        <v>45818</v>
      </c>
      <c r="C79" t="s">
        <v>85</v>
      </c>
      <c r="D79" t="s">
        <v>129</v>
      </c>
      <c r="E79" t="s">
        <v>112</v>
      </c>
      <c r="F79" t="s">
        <v>23</v>
      </c>
      <c r="G79" t="s">
        <v>45</v>
      </c>
      <c r="H79" t="s">
        <v>25</v>
      </c>
      <c r="I79" t="s">
        <v>38</v>
      </c>
      <c r="J79" t="s">
        <v>27</v>
      </c>
      <c r="K79">
        <v>6</v>
      </c>
      <c r="L79">
        <v>84.02</v>
      </c>
      <c r="M79">
        <v>0</v>
      </c>
      <c r="N79" s="15">
        <f t="shared" si="1"/>
        <v>504.12</v>
      </c>
      <c r="O79" t="s">
        <v>28</v>
      </c>
      <c r="P79" t="s">
        <v>71</v>
      </c>
      <c r="Q79" t="s">
        <v>30</v>
      </c>
      <c r="R79" t="s">
        <v>31</v>
      </c>
      <c r="S79">
        <v>5</v>
      </c>
      <c r="T79" t="s">
        <v>131</v>
      </c>
    </row>
    <row r="80" spans="1:20">
      <c r="A80">
        <v>79</v>
      </c>
      <c r="B80" s="14">
        <v>45958</v>
      </c>
      <c r="C80" t="s">
        <v>33</v>
      </c>
      <c r="D80" t="s">
        <v>126</v>
      </c>
      <c r="E80" t="s">
        <v>82</v>
      </c>
      <c r="F80" t="s">
        <v>130</v>
      </c>
      <c r="G80" t="s">
        <v>88</v>
      </c>
      <c r="H80" t="s">
        <v>73</v>
      </c>
      <c r="I80" t="s">
        <v>53</v>
      </c>
      <c r="J80" t="s">
        <v>63</v>
      </c>
      <c r="K80">
        <v>47</v>
      </c>
      <c r="L80">
        <v>9.89</v>
      </c>
      <c r="M80">
        <v>10</v>
      </c>
      <c r="N80" s="15">
        <f t="shared" si="1"/>
        <v>464.83</v>
      </c>
      <c r="O80" t="s">
        <v>54</v>
      </c>
      <c r="P80" t="s">
        <v>132</v>
      </c>
      <c r="Q80" t="s">
        <v>30</v>
      </c>
      <c r="R80" t="s">
        <v>42</v>
      </c>
      <c r="S80">
        <v>5</v>
      </c>
      <c r="T80" t="s">
        <v>125</v>
      </c>
    </row>
    <row r="81" spans="1:20">
      <c r="A81">
        <v>80</v>
      </c>
      <c r="B81" s="14">
        <v>45737</v>
      </c>
      <c r="C81" t="s">
        <v>20</v>
      </c>
      <c r="D81" t="s">
        <v>133</v>
      </c>
      <c r="E81" t="s">
        <v>107</v>
      </c>
      <c r="F81" t="s">
        <v>44</v>
      </c>
      <c r="G81" t="s">
        <v>45</v>
      </c>
      <c r="H81" t="s">
        <v>58</v>
      </c>
      <c r="I81" t="s">
        <v>53</v>
      </c>
      <c r="J81" t="s">
        <v>27</v>
      </c>
      <c r="K81">
        <v>49</v>
      </c>
      <c r="L81">
        <v>31.46</v>
      </c>
      <c r="M81">
        <v>5</v>
      </c>
      <c r="N81" s="15">
        <f t="shared" si="1"/>
        <v>1541.54</v>
      </c>
      <c r="O81" t="s">
        <v>28</v>
      </c>
      <c r="P81" t="s">
        <v>71</v>
      </c>
      <c r="Q81" t="s">
        <v>30</v>
      </c>
      <c r="R81" t="s">
        <v>31</v>
      </c>
      <c r="S81">
        <v>2</v>
      </c>
      <c r="T81" t="s">
        <v>127</v>
      </c>
    </row>
    <row r="82" spans="1:20">
      <c r="A82">
        <v>81</v>
      </c>
      <c r="B82" s="14">
        <v>46017</v>
      </c>
      <c r="C82" t="s">
        <v>50</v>
      </c>
      <c r="D82" t="s">
        <v>129</v>
      </c>
      <c r="E82" t="s">
        <v>82</v>
      </c>
      <c r="F82" t="s">
        <v>23</v>
      </c>
      <c r="G82" t="s">
        <v>88</v>
      </c>
      <c r="H82" t="s">
        <v>25</v>
      </c>
      <c r="I82" t="s">
        <v>26</v>
      </c>
      <c r="J82" t="s">
        <v>63</v>
      </c>
      <c r="K82">
        <v>5</v>
      </c>
      <c r="L82">
        <v>18.48</v>
      </c>
      <c r="M82">
        <v>0</v>
      </c>
      <c r="N82" s="15">
        <f t="shared" si="1"/>
        <v>92.4</v>
      </c>
      <c r="O82" t="s">
        <v>28</v>
      </c>
      <c r="P82" t="s">
        <v>64</v>
      </c>
      <c r="Q82" t="s">
        <v>76</v>
      </c>
      <c r="R82" t="s">
        <v>42</v>
      </c>
      <c r="S82">
        <v>4</v>
      </c>
      <c r="T82" t="s">
        <v>127</v>
      </c>
    </row>
    <row r="83" spans="1:20">
      <c r="A83">
        <v>82</v>
      </c>
      <c r="B83" s="14">
        <v>45738</v>
      </c>
      <c r="C83" t="s">
        <v>60</v>
      </c>
      <c r="D83" t="s">
        <v>129</v>
      </c>
      <c r="E83" t="s">
        <v>113</v>
      </c>
      <c r="F83" t="s">
        <v>23</v>
      </c>
      <c r="G83" t="s">
        <v>68</v>
      </c>
      <c r="H83" t="s">
        <v>58</v>
      </c>
      <c r="I83" t="s">
        <v>74</v>
      </c>
      <c r="J83" t="s">
        <v>27</v>
      </c>
      <c r="K83">
        <v>10</v>
      </c>
      <c r="L83">
        <v>19.95</v>
      </c>
      <c r="M83">
        <v>0</v>
      </c>
      <c r="N83" s="15">
        <f t="shared" si="1"/>
        <v>199.5</v>
      </c>
      <c r="O83" t="s">
        <v>28</v>
      </c>
      <c r="P83" t="s">
        <v>71</v>
      </c>
      <c r="Q83" t="s">
        <v>30</v>
      </c>
      <c r="R83" t="s">
        <v>42</v>
      </c>
      <c r="S83">
        <v>5</v>
      </c>
      <c r="T83" t="s">
        <v>131</v>
      </c>
    </row>
    <row r="84" spans="1:20">
      <c r="A84">
        <v>83</v>
      </c>
      <c r="B84" s="14">
        <v>45906</v>
      </c>
      <c r="C84" t="s">
        <v>33</v>
      </c>
      <c r="D84" t="s">
        <v>133</v>
      </c>
      <c r="E84" t="s">
        <v>97</v>
      </c>
      <c r="F84" t="s">
        <v>23</v>
      </c>
      <c r="G84" t="s">
        <v>24</v>
      </c>
      <c r="H84" t="s">
        <v>58</v>
      </c>
      <c r="I84" t="s">
        <v>74</v>
      </c>
      <c r="J84" t="s">
        <v>48</v>
      </c>
      <c r="K84">
        <v>28</v>
      </c>
      <c r="L84">
        <v>15.53</v>
      </c>
      <c r="M84">
        <v>0</v>
      </c>
      <c r="N84" s="15">
        <f t="shared" si="1"/>
        <v>434.84</v>
      </c>
      <c r="O84" t="s">
        <v>28</v>
      </c>
      <c r="P84" t="s">
        <v>132</v>
      </c>
      <c r="Q84" t="s">
        <v>30</v>
      </c>
      <c r="R84" t="s">
        <v>31</v>
      </c>
      <c r="S84">
        <v>4</v>
      </c>
      <c r="T84" t="s">
        <v>131</v>
      </c>
    </row>
    <row r="85" spans="1:20">
      <c r="A85">
        <v>84</v>
      </c>
      <c r="B85" s="14">
        <v>45661</v>
      </c>
      <c r="C85" t="s">
        <v>50</v>
      </c>
      <c r="D85" t="s">
        <v>129</v>
      </c>
      <c r="E85" t="s">
        <v>110</v>
      </c>
      <c r="F85" t="s">
        <v>91</v>
      </c>
      <c r="G85" t="s">
        <v>45</v>
      </c>
      <c r="H85" t="s">
        <v>46</v>
      </c>
      <c r="I85" t="s">
        <v>53</v>
      </c>
      <c r="J85" t="s">
        <v>27</v>
      </c>
      <c r="K85">
        <v>1</v>
      </c>
      <c r="L85">
        <v>52.25</v>
      </c>
      <c r="M85">
        <v>15</v>
      </c>
      <c r="N85" s="15">
        <f t="shared" si="1"/>
        <v>52.25</v>
      </c>
      <c r="O85" t="s">
        <v>40</v>
      </c>
      <c r="P85" t="s">
        <v>64</v>
      </c>
      <c r="Q85" t="s">
        <v>76</v>
      </c>
      <c r="R85" t="s">
        <v>42</v>
      </c>
      <c r="S85">
        <v>4</v>
      </c>
      <c r="T85" t="s">
        <v>125</v>
      </c>
    </row>
    <row r="86" spans="1:20">
      <c r="A86">
        <v>85</v>
      </c>
      <c r="B86" s="14">
        <v>45914</v>
      </c>
      <c r="C86" t="s">
        <v>33</v>
      </c>
      <c r="D86" t="s">
        <v>61</v>
      </c>
      <c r="E86" t="s">
        <v>112</v>
      </c>
      <c r="F86" t="s">
        <v>23</v>
      </c>
      <c r="G86" t="s">
        <v>88</v>
      </c>
      <c r="H86" t="s">
        <v>73</v>
      </c>
      <c r="I86" t="s">
        <v>74</v>
      </c>
      <c r="J86" t="s">
        <v>63</v>
      </c>
      <c r="K86">
        <v>2</v>
      </c>
      <c r="L86">
        <v>48.68</v>
      </c>
      <c r="M86">
        <v>0</v>
      </c>
      <c r="N86" s="15">
        <f t="shared" si="1"/>
        <v>97.36</v>
      </c>
      <c r="O86" t="s">
        <v>54</v>
      </c>
      <c r="P86" t="s">
        <v>71</v>
      </c>
      <c r="Q86" t="s">
        <v>76</v>
      </c>
      <c r="R86" t="s">
        <v>42</v>
      </c>
      <c r="S86">
        <v>4</v>
      </c>
      <c r="T86" t="s">
        <v>131</v>
      </c>
    </row>
    <row r="87" spans="1:20">
      <c r="A87">
        <v>86</v>
      </c>
      <c r="B87" s="14">
        <v>45806</v>
      </c>
      <c r="C87" t="s">
        <v>20</v>
      </c>
      <c r="D87" t="s">
        <v>133</v>
      </c>
      <c r="E87" t="s">
        <v>35</v>
      </c>
      <c r="F87" t="s">
        <v>23</v>
      </c>
      <c r="G87" t="s">
        <v>24</v>
      </c>
      <c r="H87" t="s">
        <v>58</v>
      </c>
      <c r="I87" t="s">
        <v>38</v>
      </c>
      <c r="J87" t="s">
        <v>48</v>
      </c>
      <c r="K87">
        <v>6</v>
      </c>
      <c r="L87">
        <v>46.49</v>
      </c>
      <c r="M87">
        <v>0</v>
      </c>
      <c r="N87" s="15">
        <f t="shared" si="1"/>
        <v>278.94</v>
      </c>
      <c r="O87" t="s">
        <v>40</v>
      </c>
      <c r="P87" t="s">
        <v>71</v>
      </c>
      <c r="Q87" t="s">
        <v>76</v>
      </c>
      <c r="R87" t="s">
        <v>42</v>
      </c>
      <c r="S87">
        <v>1</v>
      </c>
      <c r="T87" t="s">
        <v>131</v>
      </c>
    </row>
    <row r="88" spans="1:20">
      <c r="A88">
        <v>87</v>
      </c>
      <c r="B88" s="14">
        <v>45816</v>
      </c>
      <c r="C88" t="s">
        <v>20</v>
      </c>
      <c r="D88" t="s">
        <v>129</v>
      </c>
      <c r="E88" t="s">
        <v>107</v>
      </c>
      <c r="F88" t="s">
        <v>23</v>
      </c>
      <c r="G88" t="s">
        <v>24</v>
      </c>
      <c r="H88" t="s">
        <v>58</v>
      </c>
      <c r="I88" t="s">
        <v>47</v>
      </c>
      <c r="J88" t="s">
        <v>27</v>
      </c>
      <c r="K88">
        <v>34</v>
      </c>
      <c r="L88">
        <v>53.45</v>
      </c>
      <c r="M88">
        <v>10</v>
      </c>
      <c r="N88" s="15">
        <f t="shared" si="1"/>
        <v>1817.3</v>
      </c>
      <c r="O88" t="s">
        <v>54</v>
      </c>
      <c r="P88" t="s">
        <v>64</v>
      </c>
      <c r="Q88" t="s">
        <v>76</v>
      </c>
      <c r="R88" t="s">
        <v>31</v>
      </c>
      <c r="S88">
        <v>2</v>
      </c>
      <c r="T88" t="s">
        <v>127</v>
      </c>
    </row>
    <row r="89" spans="1:20">
      <c r="A89">
        <v>88</v>
      </c>
      <c r="B89" s="14">
        <v>45759</v>
      </c>
      <c r="C89" t="s">
        <v>50</v>
      </c>
      <c r="D89" t="s">
        <v>126</v>
      </c>
      <c r="E89" t="s">
        <v>90</v>
      </c>
      <c r="F89" t="s">
        <v>130</v>
      </c>
      <c r="G89" t="s">
        <v>88</v>
      </c>
      <c r="H89" t="s">
        <v>25</v>
      </c>
      <c r="I89" t="s">
        <v>38</v>
      </c>
      <c r="J89" t="s">
        <v>63</v>
      </c>
      <c r="K89">
        <v>49</v>
      </c>
      <c r="L89">
        <v>58.55</v>
      </c>
      <c r="M89">
        <v>0</v>
      </c>
      <c r="N89" s="15">
        <f t="shared" si="1"/>
        <v>2868.95</v>
      </c>
      <c r="O89" t="s">
        <v>28</v>
      </c>
      <c r="P89" t="s">
        <v>132</v>
      </c>
      <c r="Q89" t="s">
        <v>30</v>
      </c>
      <c r="R89" t="s">
        <v>31</v>
      </c>
      <c r="S89">
        <v>4</v>
      </c>
      <c r="T89" t="s">
        <v>131</v>
      </c>
    </row>
    <row r="90" spans="1:20">
      <c r="A90">
        <v>89</v>
      </c>
      <c r="B90" s="14">
        <v>45898</v>
      </c>
      <c r="C90" t="s">
        <v>85</v>
      </c>
      <c r="D90" t="s">
        <v>124</v>
      </c>
      <c r="E90" t="s">
        <v>114</v>
      </c>
      <c r="F90" t="s">
        <v>23</v>
      </c>
      <c r="G90" t="s">
        <v>68</v>
      </c>
      <c r="H90" t="s">
        <v>58</v>
      </c>
      <c r="I90" t="s">
        <v>53</v>
      </c>
      <c r="J90" t="s">
        <v>27</v>
      </c>
      <c r="K90">
        <v>20</v>
      </c>
      <c r="L90">
        <v>48.87</v>
      </c>
      <c r="M90">
        <v>0</v>
      </c>
      <c r="N90" s="15">
        <f t="shared" si="1"/>
        <v>977.4</v>
      </c>
      <c r="O90" t="s">
        <v>28</v>
      </c>
      <c r="P90" t="s">
        <v>132</v>
      </c>
      <c r="Q90" t="s">
        <v>30</v>
      </c>
      <c r="R90" t="s">
        <v>31</v>
      </c>
      <c r="S90">
        <v>1</v>
      </c>
      <c r="T90" t="s">
        <v>131</v>
      </c>
    </row>
    <row r="91" spans="1:20">
      <c r="A91">
        <v>90</v>
      </c>
      <c r="B91" s="14">
        <v>45972</v>
      </c>
      <c r="C91" t="s">
        <v>33</v>
      </c>
      <c r="D91" t="s">
        <v>126</v>
      </c>
      <c r="E91" t="s">
        <v>43</v>
      </c>
      <c r="F91" t="s">
        <v>44</v>
      </c>
      <c r="G91" t="s">
        <v>68</v>
      </c>
      <c r="H91" t="s">
        <v>58</v>
      </c>
      <c r="I91" t="s">
        <v>74</v>
      </c>
      <c r="J91" t="s">
        <v>63</v>
      </c>
      <c r="K91">
        <v>37</v>
      </c>
      <c r="L91">
        <v>66.92</v>
      </c>
      <c r="M91">
        <v>10</v>
      </c>
      <c r="N91" s="15">
        <f t="shared" si="1"/>
        <v>2476.04</v>
      </c>
      <c r="O91" t="s">
        <v>28</v>
      </c>
      <c r="P91" t="s">
        <v>64</v>
      </c>
      <c r="Q91" t="s">
        <v>30</v>
      </c>
      <c r="R91" t="s">
        <v>42</v>
      </c>
      <c r="S91">
        <v>1</v>
      </c>
      <c r="T91" t="s">
        <v>127</v>
      </c>
    </row>
    <row r="92" spans="1:20">
      <c r="A92">
        <v>91</v>
      </c>
      <c r="B92" s="14">
        <v>45701</v>
      </c>
      <c r="C92" t="s">
        <v>33</v>
      </c>
      <c r="D92" t="s">
        <v>124</v>
      </c>
      <c r="E92" t="s">
        <v>92</v>
      </c>
      <c r="F92" t="s">
        <v>44</v>
      </c>
      <c r="G92" t="s">
        <v>24</v>
      </c>
      <c r="H92" t="s">
        <v>73</v>
      </c>
      <c r="I92" t="s">
        <v>38</v>
      </c>
      <c r="J92" t="s">
        <v>39</v>
      </c>
      <c r="K92">
        <v>24</v>
      </c>
      <c r="L92">
        <v>40.42</v>
      </c>
      <c r="M92">
        <v>10</v>
      </c>
      <c r="N92" s="15">
        <f t="shared" si="1"/>
        <v>970.08</v>
      </c>
      <c r="O92" t="s">
        <v>28</v>
      </c>
      <c r="P92" t="s">
        <v>71</v>
      </c>
      <c r="Q92" t="s">
        <v>30</v>
      </c>
      <c r="R92" t="s">
        <v>42</v>
      </c>
      <c r="S92">
        <v>5</v>
      </c>
      <c r="T92" t="s">
        <v>131</v>
      </c>
    </row>
    <row r="93" spans="1:20">
      <c r="A93">
        <v>92</v>
      </c>
      <c r="B93" s="14">
        <v>45981</v>
      </c>
      <c r="C93" t="s">
        <v>20</v>
      </c>
      <c r="D93" t="s">
        <v>129</v>
      </c>
      <c r="E93" t="s">
        <v>52</v>
      </c>
      <c r="F93" t="s">
        <v>23</v>
      </c>
      <c r="G93" t="s">
        <v>88</v>
      </c>
      <c r="H93" t="s">
        <v>58</v>
      </c>
      <c r="I93" t="s">
        <v>38</v>
      </c>
      <c r="J93" t="s">
        <v>48</v>
      </c>
      <c r="K93">
        <v>17</v>
      </c>
      <c r="L93">
        <v>73.75</v>
      </c>
      <c r="M93">
        <v>0</v>
      </c>
      <c r="N93" s="15">
        <f t="shared" si="1"/>
        <v>1253.75</v>
      </c>
      <c r="O93" t="s">
        <v>40</v>
      </c>
      <c r="P93" t="s">
        <v>132</v>
      </c>
      <c r="Q93" t="s">
        <v>30</v>
      </c>
      <c r="R93" t="s">
        <v>42</v>
      </c>
      <c r="S93">
        <v>5</v>
      </c>
      <c r="T93" t="s">
        <v>125</v>
      </c>
    </row>
    <row r="94" spans="1:20">
      <c r="A94">
        <v>93</v>
      </c>
      <c r="B94" s="14">
        <v>45837</v>
      </c>
      <c r="C94" t="s">
        <v>60</v>
      </c>
      <c r="D94" t="s">
        <v>124</v>
      </c>
      <c r="E94" t="s">
        <v>57</v>
      </c>
      <c r="F94" t="s">
        <v>130</v>
      </c>
      <c r="G94" t="s">
        <v>81</v>
      </c>
      <c r="H94" t="s">
        <v>25</v>
      </c>
      <c r="I94" t="s">
        <v>47</v>
      </c>
      <c r="J94" t="s">
        <v>27</v>
      </c>
      <c r="K94">
        <v>20</v>
      </c>
      <c r="L94">
        <v>58.1</v>
      </c>
      <c r="M94">
        <v>10</v>
      </c>
      <c r="N94" s="15">
        <f t="shared" si="1"/>
        <v>1162</v>
      </c>
      <c r="O94" t="s">
        <v>40</v>
      </c>
      <c r="P94" t="s">
        <v>71</v>
      </c>
      <c r="Q94" t="s">
        <v>76</v>
      </c>
      <c r="R94" t="s">
        <v>42</v>
      </c>
      <c r="S94">
        <v>3</v>
      </c>
      <c r="T94" t="s">
        <v>131</v>
      </c>
    </row>
    <row r="95" spans="1:20">
      <c r="A95">
        <v>94</v>
      </c>
      <c r="B95" s="14">
        <v>45843</v>
      </c>
      <c r="C95" t="s">
        <v>60</v>
      </c>
      <c r="D95" t="s">
        <v>61</v>
      </c>
      <c r="E95" t="s">
        <v>110</v>
      </c>
      <c r="F95" t="s">
        <v>23</v>
      </c>
      <c r="G95" t="s">
        <v>81</v>
      </c>
      <c r="H95" t="s">
        <v>25</v>
      </c>
      <c r="I95" t="s">
        <v>26</v>
      </c>
      <c r="J95" t="s">
        <v>39</v>
      </c>
      <c r="K95">
        <v>10</v>
      </c>
      <c r="L95">
        <v>12.33</v>
      </c>
      <c r="M95">
        <v>0</v>
      </c>
      <c r="N95" s="15">
        <f t="shared" si="1"/>
        <v>123.3</v>
      </c>
      <c r="O95" t="s">
        <v>28</v>
      </c>
      <c r="P95" t="s">
        <v>132</v>
      </c>
      <c r="Q95" t="s">
        <v>76</v>
      </c>
      <c r="R95" t="s">
        <v>42</v>
      </c>
      <c r="S95">
        <v>4</v>
      </c>
      <c r="T95" t="s">
        <v>125</v>
      </c>
    </row>
    <row r="96" spans="1:20">
      <c r="A96">
        <v>95</v>
      </c>
      <c r="B96" s="14">
        <v>45741</v>
      </c>
      <c r="C96" t="s">
        <v>50</v>
      </c>
      <c r="D96" t="s">
        <v>61</v>
      </c>
      <c r="E96" t="s">
        <v>57</v>
      </c>
      <c r="F96" t="s">
        <v>91</v>
      </c>
      <c r="G96" t="s">
        <v>24</v>
      </c>
      <c r="H96" t="s">
        <v>73</v>
      </c>
      <c r="I96" t="s">
        <v>74</v>
      </c>
      <c r="J96" t="s">
        <v>63</v>
      </c>
      <c r="K96">
        <v>24</v>
      </c>
      <c r="L96">
        <v>69.25</v>
      </c>
      <c r="M96">
        <v>5</v>
      </c>
      <c r="N96" s="15">
        <f t="shared" si="1"/>
        <v>1662</v>
      </c>
      <c r="O96" t="s">
        <v>28</v>
      </c>
      <c r="P96" t="s">
        <v>132</v>
      </c>
      <c r="Q96" t="s">
        <v>76</v>
      </c>
      <c r="R96" t="s">
        <v>31</v>
      </c>
      <c r="S96">
        <v>5</v>
      </c>
      <c r="T96" t="s">
        <v>125</v>
      </c>
    </row>
    <row r="97" spans="1:20">
      <c r="A97">
        <v>96</v>
      </c>
      <c r="B97" s="14">
        <v>45816</v>
      </c>
      <c r="C97" t="s">
        <v>50</v>
      </c>
      <c r="D97" t="s">
        <v>61</v>
      </c>
      <c r="E97" t="s">
        <v>115</v>
      </c>
      <c r="F97" t="s">
        <v>91</v>
      </c>
      <c r="G97" t="s">
        <v>45</v>
      </c>
      <c r="H97" t="s">
        <v>58</v>
      </c>
      <c r="I97" t="s">
        <v>38</v>
      </c>
      <c r="J97" t="s">
        <v>63</v>
      </c>
      <c r="K97">
        <v>50</v>
      </c>
      <c r="L97">
        <v>31.77</v>
      </c>
      <c r="M97">
        <v>15</v>
      </c>
      <c r="N97" s="15">
        <f t="shared" si="1"/>
        <v>1588.5</v>
      </c>
      <c r="O97" t="s">
        <v>28</v>
      </c>
      <c r="P97" t="s">
        <v>64</v>
      </c>
      <c r="Q97" t="s">
        <v>76</v>
      </c>
      <c r="R97" t="s">
        <v>42</v>
      </c>
      <c r="S97">
        <v>2</v>
      </c>
      <c r="T97" t="s">
        <v>127</v>
      </c>
    </row>
    <row r="98" spans="1:20">
      <c r="A98">
        <v>97</v>
      </c>
      <c r="B98" s="14">
        <v>45684</v>
      </c>
      <c r="C98" t="s">
        <v>20</v>
      </c>
      <c r="D98" t="s">
        <v>133</v>
      </c>
      <c r="E98" t="s">
        <v>116</v>
      </c>
      <c r="F98" t="s">
        <v>91</v>
      </c>
      <c r="G98" t="s">
        <v>88</v>
      </c>
      <c r="H98" t="s">
        <v>58</v>
      </c>
      <c r="I98" t="s">
        <v>74</v>
      </c>
      <c r="J98" t="s">
        <v>48</v>
      </c>
      <c r="K98">
        <v>6</v>
      </c>
      <c r="L98">
        <v>77.5</v>
      </c>
      <c r="M98">
        <v>10</v>
      </c>
      <c r="N98" s="15">
        <f t="shared" si="1"/>
        <v>465</v>
      </c>
      <c r="O98" t="s">
        <v>28</v>
      </c>
      <c r="P98" t="s">
        <v>64</v>
      </c>
      <c r="Q98" t="s">
        <v>76</v>
      </c>
      <c r="R98" t="s">
        <v>31</v>
      </c>
      <c r="S98">
        <v>2</v>
      </c>
      <c r="T98" t="s">
        <v>131</v>
      </c>
    </row>
    <row r="99" spans="1:20">
      <c r="A99">
        <v>98</v>
      </c>
      <c r="B99" s="14">
        <v>45836</v>
      </c>
      <c r="C99" t="s">
        <v>20</v>
      </c>
      <c r="D99" t="s">
        <v>133</v>
      </c>
      <c r="E99" t="s">
        <v>117</v>
      </c>
      <c r="F99" t="s">
        <v>44</v>
      </c>
      <c r="G99" t="s">
        <v>68</v>
      </c>
      <c r="H99" t="s">
        <v>46</v>
      </c>
      <c r="I99" t="s">
        <v>26</v>
      </c>
      <c r="J99" t="s">
        <v>63</v>
      </c>
      <c r="K99">
        <v>6</v>
      </c>
      <c r="L99">
        <v>40.62</v>
      </c>
      <c r="M99">
        <v>0</v>
      </c>
      <c r="N99" s="15">
        <f t="shared" si="1"/>
        <v>243.72</v>
      </c>
      <c r="O99" t="s">
        <v>54</v>
      </c>
      <c r="P99" t="s">
        <v>71</v>
      </c>
      <c r="Q99" t="s">
        <v>30</v>
      </c>
      <c r="R99" t="s">
        <v>31</v>
      </c>
      <c r="S99">
        <v>2</v>
      </c>
      <c r="T99" t="s">
        <v>131</v>
      </c>
    </row>
    <row r="100" spans="1:20">
      <c r="A100">
        <v>99</v>
      </c>
      <c r="B100" s="14">
        <v>45804</v>
      </c>
      <c r="C100" t="s">
        <v>50</v>
      </c>
      <c r="D100" t="s">
        <v>133</v>
      </c>
      <c r="E100" t="s">
        <v>57</v>
      </c>
      <c r="F100" t="s">
        <v>91</v>
      </c>
      <c r="G100" t="s">
        <v>128</v>
      </c>
      <c r="H100" t="s">
        <v>73</v>
      </c>
      <c r="I100" t="s">
        <v>38</v>
      </c>
      <c r="J100" t="s">
        <v>27</v>
      </c>
      <c r="K100">
        <v>6</v>
      </c>
      <c r="L100">
        <v>6.81</v>
      </c>
      <c r="M100">
        <v>5</v>
      </c>
      <c r="N100" s="15">
        <f t="shared" si="1"/>
        <v>40.86</v>
      </c>
      <c r="O100" t="s">
        <v>40</v>
      </c>
      <c r="P100" t="s">
        <v>71</v>
      </c>
      <c r="Q100" t="s">
        <v>30</v>
      </c>
      <c r="R100" t="s">
        <v>42</v>
      </c>
      <c r="S100">
        <v>2</v>
      </c>
      <c r="T100" t="s">
        <v>127</v>
      </c>
    </row>
    <row r="101" spans="1:20">
      <c r="A101">
        <v>100</v>
      </c>
      <c r="B101" s="14">
        <v>45720</v>
      </c>
      <c r="C101" t="s">
        <v>20</v>
      </c>
      <c r="D101" t="s">
        <v>61</v>
      </c>
      <c r="E101" t="s">
        <v>97</v>
      </c>
      <c r="F101" t="s">
        <v>130</v>
      </c>
      <c r="G101" t="s">
        <v>68</v>
      </c>
      <c r="H101" t="s">
        <v>73</v>
      </c>
      <c r="I101" t="s">
        <v>74</v>
      </c>
      <c r="J101" t="s">
        <v>27</v>
      </c>
      <c r="K101">
        <v>32</v>
      </c>
      <c r="L101">
        <v>61.69</v>
      </c>
      <c r="M101">
        <v>0</v>
      </c>
      <c r="N101" s="15">
        <f t="shared" si="1"/>
        <v>1974.08</v>
      </c>
      <c r="O101" t="s">
        <v>40</v>
      </c>
      <c r="P101" t="s">
        <v>64</v>
      </c>
      <c r="Q101" t="s">
        <v>30</v>
      </c>
      <c r="R101" t="s">
        <v>42</v>
      </c>
      <c r="S101">
        <v>1</v>
      </c>
      <c r="T101" t="s">
        <v>127</v>
      </c>
    </row>
    <row r="102" spans="1:20">
      <c r="A102">
        <v>101</v>
      </c>
      <c r="B102" s="14">
        <v>45781</v>
      </c>
      <c r="C102" t="s">
        <v>33</v>
      </c>
      <c r="D102" t="s">
        <v>133</v>
      </c>
      <c r="E102" t="s">
        <v>92</v>
      </c>
      <c r="F102" t="s">
        <v>130</v>
      </c>
      <c r="G102" t="s">
        <v>128</v>
      </c>
      <c r="H102" t="s">
        <v>58</v>
      </c>
      <c r="I102" t="s">
        <v>47</v>
      </c>
      <c r="J102" t="s">
        <v>48</v>
      </c>
      <c r="K102">
        <v>5</v>
      </c>
      <c r="L102">
        <v>95.57</v>
      </c>
      <c r="M102">
        <v>0</v>
      </c>
      <c r="N102" s="15">
        <f t="shared" si="1"/>
        <v>477.85</v>
      </c>
      <c r="O102" t="s">
        <v>28</v>
      </c>
      <c r="P102" t="s">
        <v>71</v>
      </c>
      <c r="Q102" t="s">
        <v>76</v>
      </c>
      <c r="R102" t="s">
        <v>31</v>
      </c>
      <c r="S102">
        <v>1</v>
      </c>
      <c r="T102" t="s">
        <v>131</v>
      </c>
    </row>
    <row r="103" spans="1:20">
      <c r="A103">
        <v>102</v>
      </c>
      <c r="B103" s="14">
        <v>45849</v>
      </c>
      <c r="C103" t="s">
        <v>60</v>
      </c>
      <c r="D103" t="s">
        <v>124</v>
      </c>
      <c r="E103" t="s">
        <v>35</v>
      </c>
      <c r="F103" t="s">
        <v>23</v>
      </c>
      <c r="G103" t="s">
        <v>88</v>
      </c>
      <c r="H103" t="s">
        <v>46</v>
      </c>
      <c r="I103" t="s">
        <v>26</v>
      </c>
      <c r="J103" t="s">
        <v>27</v>
      </c>
      <c r="K103">
        <v>50</v>
      </c>
      <c r="L103">
        <v>60.28</v>
      </c>
      <c r="M103">
        <v>10</v>
      </c>
      <c r="N103" s="15">
        <f t="shared" si="1"/>
        <v>3014</v>
      </c>
      <c r="O103" t="s">
        <v>40</v>
      </c>
      <c r="P103" t="s">
        <v>71</v>
      </c>
      <c r="Q103" t="s">
        <v>30</v>
      </c>
      <c r="R103" t="s">
        <v>42</v>
      </c>
      <c r="S103">
        <v>3</v>
      </c>
      <c r="T103" t="s">
        <v>125</v>
      </c>
    </row>
    <row r="104" spans="1:20">
      <c r="A104">
        <v>103</v>
      </c>
      <c r="B104" s="14">
        <v>46008</v>
      </c>
      <c r="C104" t="s">
        <v>85</v>
      </c>
      <c r="D104" t="s">
        <v>124</v>
      </c>
      <c r="E104" t="s">
        <v>115</v>
      </c>
      <c r="F104" t="s">
        <v>130</v>
      </c>
      <c r="G104" t="s">
        <v>24</v>
      </c>
      <c r="H104" t="s">
        <v>25</v>
      </c>
      <c r="I104" t="s">
        <v>74</v>
      </c>
      <c r="J104" t="s">
        <v>63</v>
      </c>
      <c r="K104">
        <v>3</v>
      </c>
      <c r="L104">
        <v>32.88</v>
      </c>
      <c r="M104">
        <v>0</v>
      </c>
      <c r="N104" s="15">
        <f t="shared" si="1"/>
        <v>98.64</v>
      </c>
      <c r="O104" t="s">
        <v>40</v>
      </c>
      <c r="P104" t="s">
        <v>71</v>
      </c>
      <c r="Q104" t="s">
        <v>30</v>
      </c>
      <c r="R104" t="s">
        <v>42</v>
      </c>
      <c r="S104">
        <v>5</v>
      </c>
      <c r="T104" t="s">
        <v>131</v>
      </c>
    </row>
    <row r="105" spans="1:20">
      <c r="A105">
        <v>104</v>
      </c>
      <c r="B105" s="14">
        <v>45936</v>
      </c>
      <c r="C105" t="s">
        <v>85</v>
      </c>
      <c r="D105" t="s">
        <v>129</v>
      </c>
      <c r="E105" t="s">
        <v>118</v>
      </c>
      <c r="F105" t="s">
        <v>130</v>
      </c>
      <c r="G105" t="s">
        <v>24</v>
      </c>
      <c r="H105" t="s">
        <v>46</v>
      </c>
      <c r="I105" t="s">
        <v>53</v>
      </c>
      <c r="J105" t="s">
        <v>27</v>
      </c>
      <c r="K105">
        <v>42</v>
      </c>
      <c r="L105">
        <v>36.53</v>
      </c>
      <c r="M105">
        <v>0</v>
      </c>
      <c r="N105" s="15">
        <f t="shared" si="1"/>
        <v>1534.26</v>
      </c>
      <c r="O105" t="s">
        <v>54</v>
      </c>
      <c r="P105" t="s">
        <v>71</v>
      </c>
      <c r="Q105" t="s">
        <v>76</v>
      </c>
      <c r="R105" t="s">
        <v>42</v>
      </c>
      <c r="S105">
        <v>4</v>
      </c>
      <c r="T105" t="s">
        <v>131</v>
      </c>
    </row>
    <row r="106" spans="1:20">
      <c r="A106">
        <v>105</v>
      </c>
      <c r="B106" s="14">
        <v>45831</v>
      </c>
      <c r="C106" t="s">
        <v>50</v>
      </c>
      <c r="D106" t="s">
        <v>133</v>
      </c>
      <c r="E106" t="s">
        <v>57</v>
      </c>
      <c r="F106" t="s">
        <v>44</v>
      </c>
      <c r="G106" t="s">
        <v>45</v>
      </c>
      <c r="H106" t="s">
        <v>58</v>
      </c>
      <c r="I106" t="s">
        <v>53</v>
      </c>
      <c r="J106" t="s">
        <v>27</v>
      </c>
      <c r="K106">
        <v>47</v>
      </c>
      <c r="L106">
        <v>45.33</v>
      </c>
      <c r="M106">
        <v>15</v>
      </c>
      <c r="N106" s="15">
        <f t="shared" si="1"/>
        <v>2130.51</v>
      </c>
      <c r="O106" t="s">
        <v>40</v>
      </c>
      <c r="P106" t="s">
        <v>132</v>
      </c>
      <c r="Q106" t="s">
        <v>30</v>
      </c>
      <c r="R106" t="s">
        <v>31</v>
      </c>
      <c r="S106">
        <v>1</v>
      </c>
      <c r="T106" t="s">
        <v>127</v>
      </c>
    </row>
    <row r="107" spans="1:20">
      <c r="A107">
        <v>106</v>
      </c>
      <c r="B107" s="14">
        <v>45996</v>
      </c>
      <c r="C107" t="s">
        <v>60</v>
      </c>
      <c r="D107" t="s">
        <v>129</v>
      </c>
      <c r="E107" t="s">
        <v>80</v>
      </c>
      <c r="F107" t="s">
        <v>91</v>
      </c>
      <c r="G107" t="s">
        <v>128</v>
      </c>
      <c r="H107" t="s">
        <v>73</v>
      </c>
      <c r="I107" t="s">
        <v>26</v>
      </c>
      <c r="J107" t="s">
        <v>63</v>
      </c>
      <c r="K107">
        <v>23</v>
      </c>
      <c r="L107">
        <v>47.48</v>
      </c>
      <c r="M107">
        <v>10</v>
      </c>
      <c r="N107" s="15">
        <f t="shared" si="1"/>
        <v>1092.04</v>
      </c>
      <c r="O107" t="s">
        <v>28</v>
      </c>
      <c r="P107" t="s">
        <v>132</v>
      </c>
      <c r="Q107" t="s">
        <v>30</v>
      </c>
      <c r="R107" t="s">
        <v>31</v>
      </c>
      <c r="S107">
        <v>5</v>
      </c>
      <c r="T107" t="s">
        <v>131</v>
      </c>
    </row>
    <row r="108" spans="1:20">
      <c r="A108">
        <v>107</v>
      </c>
      <c r="B108" s="14">
        <v>45844</v>
      </c>
      <c r="C108" t="s">
        <v>33</v>
      </c>
      <c r="D108" t="s">
        <v>61</v>
      </c>
      <c r="E108" t="s">
        <v>22</v>
      </c>
      <c r="F108" t="s">
        <v>130</v>
      </c>
      <c r="G108" t="s">
        <v>24</v>
      </c>
      <c r="H108" t="s">
        <v>58</v>
      </c>
      <c r="I108" t="s">
        <v>26</v>
      </c>
      <c r="J108" t="s">
        <v>63</v>
      </c>
      <c r="K108">
        <v>3</v>
      </c>
      <c r="L108">
        <v>16.99</v>
      </c>
      <c r="M108">
        <v>5</v>
      </c>
      <c r="N108" s="15">
        <f t="shared" si="1"/>
        <v>50.97</v>
      </c>
      <c r="O108" t="s">
        <v>54</v>
      </c>
      <c r="P108" t="s">
        <v>132</v>
      </c>
      <c r="Q108" t="s">
        <v>76</v>
      </c>
      <c r="R108" t="s">
        <v>42</v>
      </c>
      <c r="S108">
        <v>1</v>
      </c>
      <c r="T108" t="s">
        <v>125</v>
      </c>
    </row>
    <row r="109" spans="1:20">
      <c r="A109">
        <v>108</v>
      </c>
      <c r="B109" s="14">
        <v>46005</v>
      </c>
      <c r="C109" t="s">
        <v>85</v>
      </c>
      <c r="D109" t="s">
        <v>129</v>
      </c>
      <c r="E109" t="s">
        <v>116</v>
      </c>
      <c r="F109" t="s">
        <v>44</v>
      </c>
      <c r="G109" t="s">
        <v>88</v>
      </c>
      <c r="H109" t="s">
        <v>58</v>
      </c>
      <c r="I109" t="s">
        <v>26</v>
      </c>
      <c r="J109" t="s">
        <v>48</v>
      </c>
      <c r="K109">
        <v>26</v>
      </c>
      <c r="L109">
        <v>34.87</v>
      </c>
      <c r="M109">
        <v>10</v>
      </c>
      <c r="N109" s="15">
        <f t="shared" si="1"/>
        <v>906.62</v>
      </c>
      <c r="O109" t="s">
        <v>40</v>
      </c>
      <c r="P109" t="s">
        <v>71</v>
      </c>
      <c r="Q109" t="s">
        <v>30</v>
      </c>
      <c r="R109" t="s">
        <v>42</v>
      </c>
      <c r="S109">
        <v>2</v>
      </c>
      <c r="T109" t="s">
        <v>131</v>
      </c>
    </row>
    <row r="110" spans="1:20">
      <c r="A110">
        <v>109</v>
      </c>
      <c r="B110" s="14">
        <v>45923</v>
      </c>
      <c r="C110" t="s">
        <v>85</v>
      </c>
      <c r="D110" t="s">
        <v>126</v>
      </c>
      <c r="E110" t="s">
        <v>119</v>
      </c>
      <c r="F110" t="s">
        <v>23</v>
      </c>
      <c r="G110" t="s">
        <v>45</v>
      </c>
      <c r="H110" t="s">
        <v>73</v>
      </c>
      <c r="I110" t="s">
        <v>26</v>
      </c>
      <c r="J110" t="s">
        <v>48</v>
      </c>
      <c r="K110">
        <v>45</v>
      </c>
      <c r="L110">
        <v>92.07</v>
      </c>
      <c r="M110">
        <v>15</v>
      </c>
      <c r="N110" s="15">
        <f t="shared" si="1"/>
        <v>4143.15</v>
      </c>
      <c r="O110" t="s">
        <v>40</v>
      </c>
      <c r="P110" t="s">
        <v>71</v>
      </c>
      <c r="Q110" t="s">
        <v>76</v>
      </c>
      <c r="R110" t="s">
        <v>31</v>
      </c>
      <c r="S110">
        <v>4</v>
      </c>
      <c r="T110" t="s">
        <v>125</v>
      </c>
    </row>
    <row r="111" spans="1:20">
      <c r="A111">
        <v>110</v>
      </c>
      <c r="B111" s="14">
        <v>45885</v>
      </c>
      <c r="C111" t="s">
        <v>20</v>
      </c>
      <c r="D111" t="s">
        <v>61</v>
      </c>
      <c r="E111" t="s">
        <v>69</v>
      </c>
      <c r="F111" t="s">
        <v>23</v>
      </c>
      <c r="G111" t="s">
        <v>128</v>
      </c>
      <c r="H111" t="s">
        <v>46</v>
      </c>
      <c r="I111" t="s">
        <v>74</v>
      </c>
      <c r="J111" t="s">
        <v>48</v>
      </c>
      <c r="K111">
        <v>20</v>
      </c>
      <c r="L111">
        <v>85.88</v>
      </c>
      <c r="M111">
        <v>5</v>
      </c>
      <c r="N111" s="15">
        <f t="shared" si="1"/>
        <v>1717.6</v>
      </c>
      <c r="O111" t="s">
        <v>54</v>
      </c>
      <c r="P111" t="s">
        <v>64</v>
      </c>
      <c r="Q111" t="s">
        <v>30</v>
      </c>
      <c r="R111" t="s">
        <v>31</v>
      </c>
      <c r="S111">
        <v>2</v>
      </c>
      <c r="T111" t="s">
        <v>125</v>
      </c>
    </row>
    <row r="112" spans="1:20">
      <c r="A112">
        <v>111</v>
      </c>
      <c r="B112" s="14">
        <v>45910</v>
      </c>
      <c r="C112" t="s">
        <v>20</v>
      </c>
      <c r="D112" t="s">
        <v>129</v>
      </c>
      <c r="E112" t="s">
        <v>96</v>
      </c>
      <c r="F112" t="s">
        <v>91</v>
      </c>
      <c r="G112" t="s">
        <v>45</v>
      </c>
      <c r="H112" t="s">
        <v>73</v>
      </c>
      <c r="I112" t="s">
        <v>47</v>
      </c>
      <c r="J112" t="s">
        <v>39</v>
      </c>
      <c r="K112">
        <v>40</v>
      </c>
      <c r="L112">
        <v>89</v>
      </c>
      <c r="M112">
        <v>0</v>
      </c>
      <c r="N112" s="15">
        <f t="shared" si="1"/>
        <v>3560</v>
      </c>
      <c r="O112" t="s">
        <v>54</v>
      </c>
      <c r="P112" t="s">
        <v>71</v>
      </c>
      <c r="Q112" t="s">
        <v>76</v>
      </c>
      <c r="R112" t="s">
        <v>42</v>
      </c>
      <c r="S112">
        <v>4</v>
      </c>
      <c r="T112" t="s">
        <v>131</v>
      </c>
    </row>
    <row r="113" spans="1:20">
      <c r="A113">
        <v>112</v>
      </c>
      <c r="B113" s="14">
        <v>45952</v>
      </c>
      <c r="C113" t="s">
        <v>20</v>
      </c>
      <c r="D113" t="s">
        <v>61</v>
      </c>
      <c r="E113" t="s">
        <v>108</v>
      </c>
      <c r="F113" t="s">
        <v>130</v>
      </c>
      <c r="G113" t="s">
        <v>88</v>
      </c>
      <c r="H113" t="s">
        <v>73</v>
      </c>
      <c r="I113" t="s">
        <v>38</v>
      </c>
      <c r="J113" t="s">
        <v>48</v>
      </c>
      <c r="K113">
        <v>9</v>
      </c>
      <c r="L113">
        <v>88.41</v>
      </c>
      <c r="M113">
        <v>0</v>
      </c>
      <c r="N113" s="15">
        <f t="shared" si="1"/>
        <v>795.69</v>
      </c>
      <c r="O113" t="s">
        <v>40</v>
      </c>
      <c r="P113" t="s">
        <v>64</v>
      </c>
      <c r="Q113" t="s">
        <v>76</v>
      </c>
      <c r="R113" t="s">
        <v>42</v>
      </c>
      <c r="S113">
        <v>1</v>
      </c>
      <c r="T113" t="s">
        <v>131</v>
      </c>
    </row>
    <row r="114" spans="1:20">
      <c r="A114">
        <v>113</v>
      </c>
      <c r="B114" s="14">
        <v>45923</v>
      </c>
      <c r="C114" t="s">
        <v>50</v>
      </c>
      <c r="D114" t="s">
        <v>129</v>
      </c>
      <c r="E114" t="s">
        <v>120</v>
      </c>
      <c r="F114" t="s">
        <v>91</v>
      </c>
      <c r="G114" t="s">
        <v>45</v>
      </c>
      <c r="H114" t="s">
        <v>25</v>
      </c>
      <c r="I114" t="s">
        <v>53</v>
      </c>
      <c r="J114" t="s">
        <v>48</v>
      </c>
      <c r="K114">
        <v>6</v>
      </c>
      <c r="L114">
        <v>28.81</v>
      </c>
      <c r="M114">
        <v>0</v>
      </c>
      <c r="N114" s="15">
        <f t="shared" si="1"/>
        <v>172.86</v>
      </c>
      <c r="O114" t="s">
        <v>54</v>
      </c>
      <c r="P114" t="s">
        <v>64</v>
      </c>
      <c r="Q114" t="s">
        <v>30</v>
      </c>
      <c r="R114" t="s">
        <v>42</v>
      </c>
      <c r="S114">
        <v>5</v>
      </c>
      <c r="T114" t="s">
        <v>131</v>
      </c>
    </row>
    <row r="115" spans="1:20">
      <c r="A115">
        <v>114</v>
      </c>
      <c r="B115" s="14">
        <v>45915</v>
      </c>
      <c r="C115" t="s">
        <v>20</v>
      </c>
      <c r="D115" t="s">
        <v>61</v>
      </c>
      <c r="E115" t="s">
        <v>98</v>
      </c>
      <c r="F115" t="s">
        <v>91</v>
      </c>
      <c r="G115" t="s">
        <v>24</v>
      </c>
      <c r="H115" t="s">
        <v>25</v>
      </c>
      <c r="I115" t="s">
        <v>47</v>
      </c>
      <c r="J115" t="s">
        <v>48</v>
      </c>
      <c r="K115">
        <v>37</v>
      </c>
      <c r="L115">
        <v>8.91</v>
      </c>
      <c r="M115">
        <v>0</v>
      </c>
      <c r="N115" s="15">
        <f t="shared" si="1"/>
        <v>329.67</v>
      </c>
      <c r="O115" t="s">
        <v>28</v>
      </c>
      <c r="P115" t="s">
        <v>71</v>
      </c>
      <c r="Q115" t="s">
        <v>30</v>
      </c>
      <c r="R115" t="s">
        <v>42</v>
      </c>
      <c r="S115">
        <v>2</v>
      </c>
      <c r="T115" t="s">
        <v>131</v>
      </c>
    </row>
    <row r="116" spans="1:20">
      <c r="A116">
        <v>115</v>
      </c>
      <c r="B116" s="14">
        <v>45974</v>
      </c>
      <c r="C116" t="s">
        <v>20</v>
      </c>
      <c r="D116" t="s">
        <v>124</v>
      </c>
      <c r="E116" t="s">
        <v>105</v>
      </c>
      <c r="F116" t="s">
        <v>130</v>
      </c>
      <c r="G116" t="s">
        <v>68</v>
      </c>
      <c r="H116" t="s">
        <v>46</v>
      </c>
      <c r="I116" t="s">
        <v>53</v>
      </c>
      <c r="J116" t="s">
        <v>63</v>
      </c>
      <c r="K116">
        <v>16</v>
      </c>
      <c r="L116">
        <v>81.45</v>
      </c>
      <c r="M116">
        <v>15</v>
      </c>
      <c r="N116" s="15">
        <f t="shared" si="1"/>
        <v>1303.2</v>
      </c>
      <c r="O116" t="s">
        <v>54</v>
      </c>
      <c r="P116" t="s">
        <v>71</v>
      </c>
      <c r="Q116" t="s">
        <v>30</v>
      </c>
      <c r="R116" t="s">
        <v>42</v>
      </c>
      <c r="S116">
        <v>1</v>
      </c>
      <c r="T116" t="s">
        <v>125</v>
      </c>
    </row>
    <row r="117" spans="1:20">
      <c r="A117">
        <v>116</v>
      </c>
      <c r="B117" s="14">
        <v>45883</v>
      </c>
      <c r="C117" t="s">
        <v>85</v>
      </c>
      <c r="D117" t="s">
        <v>133</v>
      </c>
      <c r="E117" t="s">
        <v>93</v>
      </c>
      <c r="F117" t="s">
        <v>91</v>
      </c>
      <c r="G117" t="s">
        <v>45</v>
      </c>
      <c r="H117" t="s">
        <v>58</v>
      </c>
      <c r="I117" t="s">
        <v>26</v>
      </c>
      <c r="J117" t="s">
        <v>48</v>
      </c>
      <c r="K117">
        <v>46</v>
      </c>
      <c r="L117">
        <v>35.34</v>
      </c>
      <c r="M117">
        <v>10</v>
      </c>
      <c r="N117" s="15">
        <f t="shared" si="1"/>
        <v>1625.64</v>
      </c>
      <c r="O117" t="s">
        <v>28</v>
      </c>
      <c r="P117" t="s">
        <v>64</v>
      </c>
      <c r="Q117" t="s">
        <v>30</v>
      </c>
      <c r="R117" t="s">
        <v>42</v>
      </c>
      <c r="S117">
        <v>5</v>
      </c>
      <c r="T117" t="s">
        <v>131</v>
      </c>
    </row>
    <row r="118" spans="1:20">
      <c r="A118">
        <v>117</v>
      </c>
      <c r="B118" s="14">
        <v>45821</v>
      </c>
      <c r="C118" t="s">
        <v>50</v>
      </c>
      <c r="D118" t="s">
        <v>133</v>
      </c>
      <c r="E118" t="s">
        <v>119</v>
      </c>
      <c r="F118" t="s">
        <v>23</v>
      </c>
      <c r="G118" t="s">
        <v>81</v>
      </c>
      <c r="H118" t="s">
        <v>25</v>
      </c>
      <c r="I118" t="s">
        <v>26</v>
      </c>
      <c r="J118" t="s">
        <v>27</v>
      </c>
      <c r="K118">
        <v>4</v>
      </c>
      <c r="L118">
        <v>32.57</v>
      </c>
      <c r="M118">
        <v>15</v>
      </c>
      <c r="N118" s="15">
        <f t="shared" si="1"/>
        <v>130.28</v>
      </c>
      <c r="O118" t="s">
        <v>28</v>
      </c>
      <c r="P118" t="s">
        <v>64</v>
      </c>
      <c r="Q118" t="s">
        <v>76</v>
      </c>
      <c r="R118" t="s">
        <v>42</v>
      </c>
      <c r="S118">
        <v>5</v>
      </c>
      <c r="T118" t="s">
        <v>127</v>
      </c>
    </row>
    <row r="119" spans="1:20">
      <c r="A119">
        <v>118</v>
      </c>
      <c r="B119" s="14">
        <v>45755</v>
      </c>
      <c r="C119" t="s">
        <v>50</v>
      </c>
      <c r="D119" t="s">
        <v>61</v>
      </c>
      <c r="E119" t="s">
        <v>105</v>
      </c>
      <c r="F119" t="s">
        <v>91</v>
      </c>
      <c r="G119" t="s">
        <v>81</v>
      </c>
      <c r="H119" t="s">
        <v>73</v>
      </c>
      <c r="I119" t="s">
        <v>53</v>
      </c>
      <c r="J119" t="s">
        <v>63</v>
      </c>
      <c r="K119">
        <v>2</v>
      </c>
      <c r="L119">
        <v>13.55</v>
      </c>
      <c r="M119">
        <v>15</v>
      </c>
      <c r="N119" s="15">
        <f t="shared" si="1"/>
        <v>27.1</v>
      </c>
      <c r="O119" t="s">
        <v>28</v>
      </c>
      <c r="P119" t="s">
        <v>64</v>
      </c>
      <c r="Q119" t="s">
        <v>76</v>
      </c>
      <c r="R119" t="s">
        <v>42</v>
      </c>
      <c r="S119">
        <v>3</v>
      </c>
      <c r="T119" t="s">
        <v>131</v>
      </c>
    </row>
    <row r="120" spans="1:20">
      <c r="A120">
        <v>119</v>
      </c>
      <c r="B120" s="14">
        <v>45683</v>
      </c>
      <c r="C120" t="s">
        <v>60</v>
      </c>
      <c r="D120" t="s">
        <v>133</v>
      </c>
      <c r="E120" t="s">
        <v>95</v>
      </c>
      <c r="F120" t="s">
        <v>130</v>
      </c>
      <c r="G120" t="s">
        <v>128</v>
      </c>
      <c r="H120" t="s">
        <v>73</v>
      </c>
      <c r="I120" t="s">
        <v>53</v>
      </c>
      <c r="J120" t="s">
        <v>27</v>
      </c>
      <c r="K120">
        <v>7</v>
      </c>
      <c r="L120">
        <v>45.94</v>
      </c>
      <c r="M120">
        <v>10</v>
      </c>
      <c r="N120" s="15">
        <f t="shared" si="1"/>
        <v>321.58</v>
      </c>
      <c r="O120" t="s">
        <v>54</v>
      </c>
      <c r="P120" t="s">
        <v>71</v>
      </c>
      <c r="Q120" t="s">
        <v>30</v>
      </c>
      <c r="R120" t="s">
        <v>31</v>
      </c>
      <c r="S120">
        <v>4</v>
      </c>
      <c r="T120" t="s">
        <v>131</v>
      </c>
    </row>
    <row r="121" spans="1:20">
      <c r="A121">
        <v>120</v>
      </c>
      <c r="B121" s="14">
        <v>45949</v>
      </c>
      <c r="C121" t="s">
        <v>33</v>
      </c>
      <c r="D121" t="s">
        <v>61</v>
      </c>
      <c r="E121" t="s">
        <v>116</v>
      </c>
      <c r="F121" t="s">
        <v>91</v>
      </c>
      <c r="G121" t="s">
        <v>45</v>
      </c>
      <c r="H121" t="s">
        <v>58</v>
      </c>
      <c r="I121" t="s">
        <v>38</v>
      </c>
      <c r="J121" t="s">
        <v>63</v>
      </c>
      <c r="K121">
        <v>49</v>
      </c>
      <c r="L121">
        <v>57.24</v>
      </c>
      <c r="M121">
        <v>0</v>
      </c>
      <c r="N121" s="15">
        <f t="shared" si="1"/>
        <v>2804.76</v>
      </c>
      <c r="O121" t="s">
        <v>28</v>
      </c>
      <c r="P121" t="s">
        <v>64</v>
      </c>
      <c r="Q121" t="s">
        <v>30</v>
      </c>
      <c r="R121" t="s">
        <v>42</v>
      </c>
      <c r="S121">
        <v>3</v>
      </c>
      <c r="T121" t="s">
        <v>127</v>
      </c>
    </row>
    <row r="122" spans="1:20">
      <c r="A122">
        <v>121</v>
      </c>
      <c r="B122" s="14">
        <v>45943</v>
      </c>
      <c r="C122" t="s">
        <v>60</v>
      </c>
      <c r="D122" t="s">
        <v>61</v>
      </c>
      <c r="E122" t="s">
        <v>90</v>
      </c>
      <c r="F122" t="s">
        <v>91</v>
      </c>
      <c r="G122" t="s">
        <v>68</v>
      </c>
      <c r="H122" t="s">
        <v>58</v>
      </c>
      <c r="I122" t="s">
        <v>38</v>
      </c>
      <c r="J122" t="s">
        <v>27</v>
      </c>
      <c r="K122">
        <v>3</v>
      </c>
      <c r="L122">
        <v>8.7</v>
      </c>
      <c r="M122">
        <v>10</v>
      </c>
      <c r="N122" s="15">
        <f t="shared" si="1"/>
        <v>26.1</v>
      </c>
      <c r="O122" t="s">
        <v>28</v>
      </c>
      <c r="P122" t="s">
        <v>71</v>
      </c>
      <c r="Q122" t="s">
        <v>76</v>
      </c>
      <c r="R122" t="s">
        <v>42</v>
      </c>
      <c r="S122">
        <v>5</v>
      </c>
      <c r="T122" t="s">
        <v>125</v>
      </c>
    </row>
    <row r="123" spans="1:20">
      <c r="A123">
        <v>122</v>
      </c>
      <c r="B123" s="14">
        <v>45825</v>
      </c>
      <c r="C123" t="s">
        <v>33</v>
      </c>
      <c r="D123" t="s">
        <v>129</v>
      </c>
      <c r="E123" t="s">
        <v>120</v>
      </c>
      <c r="F123" t="s">
        <v>44</v>
      </c>
      <c r="G123" t="s">
        <v>68</v>
      </c>
      <c r="H123" t="s">
        <v>46</v>
      </c>
      <c r="I123" t="s">
        <v>47</v>
      </c>
      <c r="J123" t="s">
        <v>48</v>
      </c>
      <c r="K123">
        <v>33</v>
      </c>
      <c r="L123">
        <v>83.69</v>
      </c>
      <c r="M123">
        <v>0</v>
      </c>
      <c r="N123" s="15">
        <f t="shared" si="1"/>
        <v>2761.77</v>
      </c>
      <c r="O123" t="s">
        <v>28</v>
      </c>
      <c r="P123" t="s">
        <v>132</v>
      </c>
      <c r="Q123" t="s">
        <v>76</v>
      </c>
      <c r="R123" t="s">
        <v>31</v>
      </c>
      <c r="S123">
        <v>3</v>
      </c>
      <c r="T123" t="s">
        <v>127</v>
      </c>
    </row>
    <row r="124" spans="1:20">
      <c r="A124">
        <v>123</v>
      </c>
      <c r="B124" s="14">
        <v>46002</v>
      </c>
      <c r="C124" t="s">
        <v>20</v>
      </c>
      <c r="D124" t="s">
        <v>133</v>
      </c>
      <c r="E124" t="s">
        <v>98</v>
      </c>
      <c r="F124" t="s">
        <v>23</v>
      </c>
      <c r="G124" t="s">
        <v>128</v>
      </c>
      <c r="H124" t="s">
        <v>58</v>
      </c>
      <c r="I124" t="s">
        <v>47</v>
      </c>
      <c r="J124" t="s">
        <v>63</v>
      </c>
      <c r="K124">
        <v>17</v>
      </c>
      <c r="L124">
        <v>96.87</v>
      </c>
      <c r="M124">
        <v>0</v>
      </c>
      <c r="N124" s="15">
        <f t="shared" si="1"/>
        <v>1646.79</v>
      </c>
      <c r="O124" t="s">
        <v>40</v>
      </c>
      <c r="P124" t="s">
        <v>71</v>
      </c>
      <c r="Q124" t="s">
        <v>76</v>
      </c>
      <c r="R124" t="s">
        <v>31</v>
      </c>
      <c r="S124">
        <v>5</v>
      </c>
      <c r="T124" t="s">
        <v>131</v>
      </c>
    </row>
    <row r="125" spans="1:20">
      <c r="A125">
        <v>124</v>
      </c>
      <c r="B125" s="14">
        <v>45733</v>
      </c>
      <c r="C125" t="s">
        <v>50</v>
      </c>
      <c r="D125" t="s">
        <v>124</v>
      </c>
      <c r="E125" t="s">
        <v>67</v>
      </c>
      <c r="F125" t="s">
        <v>44</v>
      </c>
      <c r="G125" t="s">
        <v>68</v>
      </c>
      <c r="H125" t="s">
        <v>58</v>
      </c>
      <c r="I125" t="s">
        <v>26</v>
      </c>
      <c r="J125" t="s">
        <v>27</v>
      </c>
      <c r="K125">
        <v>29</v>
      </c>
      <c r="L125">
        <v>34.8</v>
      </c>
      <c r="M125">
        <v>5</v>
      </c>
      <c r="N125" s="15">
        <f t="shared" si="1"/>
        <v>1009.2</v>
      </c>
      <c r="O125" t="s">
        <v>28</v>
      </c>
      <c r="P125" t="s">
        <v>64</v>
      </c>
      <c r="Q125" t="s">
        <v>76</v>
      </c>
      <c r="R125" t="s">
        <v>42</v>
      </c>
      <c r="S125">
        <v>5</v>
      </c>
      <c r="T125" t="s">
        <v>131</v>
      </c>
    </row>
    <row r="126" spans="1:20">
      <c r="A126">
        <v>125</v>
      </c>
      <c r="B126" s="14">
        <v>45689</v>
      </c>
      <c r="C126" t="s">
        <v>20</v>
      </c>
      <c r="D126" t="s">
        <v>61</v>
      </c>
      <c r="E126" t="s">
        <v>99</v>
      </c>
      <c r="F126" t="s">
        <v>91</v>
      </c>
      <c r="G126" t="s">
        <v>68</v>
      </c>
      <c r="H126" t="s">
        <v>46</v>
      </c>
      <c r="I126" t="s">
        <v>38</v>
      </c>
      <c r="J126" t="s">
        <v>63</v>
      </c>
      <c r="K126">
        <v>21</v>
      </c>
      <c r="L126">
        <v>95.89</v>
      </c>
      <c r="M126">
        <v>15</v>
      </c>
      <c r="N126" s="15">
        <f t="shared" si="1"/>
        <v>2013.69</v>
      </c>
      <c r="O126" t="s">
        <v>54</v>
      </c>
      <c r="P126" t="s">
        <v>132</v>
      </c>
      <c r="Q126" t="s">
        <v>30</v>
      </c>
      <c r="R126" t="s">
        <v>42</v>
      </c>
      <c r="S126">
        <v>4</v>
      </c>
      <c r="T126" t="s">
        <v>125</v>
      </c>
    </row>
    <row r="127" spans="1:20">
      <c r="A127">
        <v>126</v>
      </c>
      <c r="B127" s="14">
        <v>45784</v>
      </c>
      <c r="C127" t="s">
        <v>60</v>
      </c>
      <c r="D127" t="s">
        <v>126</v>
      </c>
      <c r="E127" t="s">
        <v>114</v>
      </c>
      <c r="F127" t="s">
        <v>91</v>
      </c>
      <c r="G127" t="s">
        <v>45</v>
      </c>
      <c r="H127" t="s">
        <v>46</v>
      </c>
      <c r="I127" t="s">
        <v>26</v>
      </c>
      <c r="J127" t="s">
        <v>63</v>
      </c>
      <c r="K127">
        <v>21</v>
      </c>
      <c r="L127">
        <v>50.58</v>
      </c>
      <c r="M127">
        <v>0</v>
      </c>
      <c r="N127" s="15">
        <f t="shared" si="1"/>
        <v>1062.18</v>
      </c>
      <c r="O127" t="s">
        <v>54</v>
      </c>
      <c r="P127" t="s">
        <v>132</v>
      </c>
      <c r="Q127" t="s">
        <v>30</v>
      </c>
      <c r="R127" t="s">
        <v>42</v>
      </c>
      <c r="S127">
        <v>3</v>
      </c>
      <c r="T127" t="s">
        <v>131</v>
      </c>
    </row>
    <row r="128" spans="1:20">
      <c r="A128">
        <v>127</v>
      </c>
      <c r="B128" s="14">
        <v>45860</v>
      </c>
      <c r="C128" t="s">
        <v>50</v>
      </c>
      <c r="D128" t="s">
        <v>129</v>
      </c>
      <c r="E128" t="s">
        <v>62</v>
      </c>
      <c r="F128" t="s">
        <v>91</v>
      </c>
      <c r="G128" t="s">
        <v>45</v>
      </c>
      <c r="H128" t="s">
        <v>58</v>
      </c>
      <c r="I128" t="s">
        <v>53</v>
      </c>
      <c r="J128" t="s">
        <v>27</v>
      </c>
      <c r="K128">
        <v>23</v>
      </c>
      <c r="L128">
        <v>92.78</v>
      </c>
      <c r="M128">
        <v>10</v>
      </c>
      <c r="N128" s="15">
        <f t="shared" si="1"/>
        <v>2133.94</v>
      </c>
      <c r="O128" t="s">
        <v>28</v>
      </c>
      <c r="P128" t="s">
        <v>64</v>
      </c>
      <c r="Q128" t="s">
        <v>76</v>
      </c>
      <c r="R128" t="s">
        <v>42</v>
      </c>
      <c r="S128">
        <v>3</v>
      </c>
      <c r="T128" t="s">
        <v>127</v>
      </c>
    </row>
    <row r="129" spans="1:20">
      <c r="A129">
        <v>128</v>
      </c>
      <c r="B129" s="14">
        <v>45728</v>
      </c>
      <c r="C129" t="s">
        <v>20</v>
      </c>
      <c r="D129" t="s">
        <v>126</v>
      </c>
      <c r="E129" t="s">
        <v>22</v>
      </c>
      <c r="F129" t="s">
        <v>91</v>
      </c>
      <c r="G129" t="s">
        <v>24</v>
      </c>
      <c r="H129" t="s">
        <v>25</v>
      </c>
      <c r="I129" t="s">
        <v>74</v>
      </c>
      <c r="J129" t="s">
        <v>39</v>
      </c>
      <c r="K129">
        <v>41</v>
      </c>
      <c r="L129">
        <v>27.12</v>
      </c>
      <c r="M129">
        <v>0</v>
      </c>
      <c r="N129" s="15">
        <f t="shared" si="1"/>
        <v>1111.92</v>
      </c>
      <c r="O129" t="s">
        <v>28</v>
      </c>
      <c r="P129" t="s">
        <v>132</v>
      </c>
      <c r="Q129" t="s">
        <v>76</v>
      </c>
      <c r="R129" t="s">
        <v>31</v>
      </c>
      <c r="S129">
        <v>4</v>
      </c>
      <c r="T129" t="s">
        <v>125</v>
      </c>
    </row>
    <row r="130" spans="1:20">
      <c r="A130">
        <v>129</v>
      </c>
      <c r="B130" s="14">
        <v>45660</v>
      </c>
      <c r="C130" t="s">
        <v>33</v>
      </c>
      <c r="D130" t="s">
        <v>61</v>
      </c>
      <c r="E130" t="s">
        <v>97</v>
      </c>
      <c r="F130" t="s">
        <v>130</v>
      </c>
      <c r="G130" t="s">
        <v>81</v>
      </c>
      <c r="H130" t="s">
        <v>73</v>
      </c>
      <c r="I130" t="s">
        <v>26</v>
      </c>
      <c r="J130" t="s">
        <v>48</v>
      </c>
      <c r="K130">
        <v>21</v>
      </c>
      <c r="L130">
        <v>32.11</v>
      </c>
      <c r="M130">
        <v>0</v>
      </c>
      <c r="N130" s="15">
        <f t="shared" ref="N130:N193" si="2">PRODUCT(K130,L130)</f>
        <v>674.31</v>
      </c>
      <c r="O130" t="s">
        <v>28</v>
      </c>
      <c r="P130" t="s">
        <v>64</v>
      </c>
      <c r="Q130" t="s">
        <v>30</v>
      </c>
      <c r="R130" t="s">
        <v>31</v>
      </c>
      <c r="S130">
        <v>4</v>
      </c>
      <c r="T130" t="s">
        <v>125</v>
      </c>
    </row>
    <row r="131" spans="1:20">
      <c r="A131">
        <v>130</v>
      </c>
      <c r="B131" s="14">
        <v>45676</v>
      </c>
      <c r="C131" t="s">
        <v>50</v>
      </c>
      <c r="D131" t="s">
        <v>133</v>
      </c>
      <c r="E131" t="s">
        <v>105</v>
      </c>
      <c r="F131" t="s">
        <v>91</v>
      </c>
      <c r="G131" t="s">
        <v>128</v>
      </c>
      <c r="H131" t="s">
        <v>46</v>
      </c>
      <c r="I131" t="s">
        <v>74</v>
      </c>
      <c r="J131" t="s">
        <v>27</v>
      </c>
      <c r="K131">
        <v>20</v>
      </c>
      <c r="L131">
        <v>58.96</v>
      </c>
      <c r="M131">
        <v>0</v>
      </c>
      <c r="N131" s="15">
        <f t="shared" si="2"/>
        <v>1179.2</v>
      </c>
      <c r="O131" t="s">
        <v>54</v>
      </c>
      <c r="P131" t="s">
        <v>132</v>
      </c>
      <c r="Q131" t="s">
        <v>76</v>
      </c>
      <c r="R131" t="s">
        <v>42</v>
      </c>
      <c r="S131">
        <v>5</v>
      </c>
      <c r="T131" t="s">
        <v>131</v>
      </c>
    </row>
    <row r="132" spans="1:20">
      <c r="A132">
        <v>131</v>
      </c>
      <c r="B132" s="14">
        <v>45726</v>
      </c>
      <c r="C132" t="s">
        <v>50</v>
      </c>
      <c r="D132" t="s">
        <v>126</v>
      </c>
      <c r="E132" t="s">
        <v>93</v>
      </c>
      <c r="F132" t="s">
        <v>23</v>
      </c>
      <c r="G132" t="s">
        <v>24</v>
      </c>
      <c r="H132" t="s">
        <v>58</v>
      </c>
      <c r="I132" t="s">
        <v>53</v>
      </c>
      <c r="J132" t="s">
        <v>39</v>
      </c>
      <c r="K132">
        <v>47</v>
      </c>
      <c r="L132">
        <v>48.6</v>
      </c>
      <c r="M132">
        <v>10</v>
      </c>
      <c r="N132" s="15">
        <f t="shared" si="2"/>
        <v>2284.2</v>
      </c>
      <c r="O132" t="s">
        <v>40</v>
      </c>
      <c r="P132" t="s">
        <v>71</v>
      </c>
      <c r="Q132" t="s">
        <v>30</v>
      </c>
      <c r="R132" t="s">
        <v>42</v>
      </c>
      <c r="S132">
        <v>5</v>
      </c>
      <c r="T132" t="s">
        <v>125</v>
      </c>
    </row>
    <row r="133" spans="1:20">
      <c r="A133">
        <v>132</v>
      </c>
      <c r="B133" s="14">
        <v>45747</v>
      </c>
      <c r="C133" t="s">
        <v>33</v>
      </c>
      <c r="D133" t="s">
        <v>61</v>
      </c>
      <c r="E133" t="s">
        <v>104</v>
      </c>
      <c r="F133" t="s">
        <v>44</v>
      </c>
      <c r="G133" t="s">
        <v>81</v>
      </c>
      <c r="H133" t="s">
        <v>58</v>
      </c>
      <c r="I133" t="s">
        <v>53</v>
      </c>
      <c r="J133" t="s">
        <v>27</v>
      </c>
      <c r="K133">
        <v>26</v>
      </c>
      <c r="L133">
        <v>68.58</v>
      </c>
      <c r="M133">
        <v>5</v>
      </c>
      <c r="N133" s="15">
        <f t="shared" si="2"/>
        <v>1783.08</v>
      </c>
      <c r="O133" t="s">
        <v>40</v>
      </c>
      <c r="P133" t="s">
        <v>71</v>
      </c>
      <c r="Q133" t="s">
        <v>30</v>
      </c>
      <c r="R133" t="s">
        <v>31</v>
      </c>
      <c r="S133">
        <v>1</v>
      </c>
      <c r="T133" t="s">
        <v>127</v>
      </c>
    </row>
    <row r="134" spans="1:20">
      <c r="A134">
        <v>133</v>
      </c>
      <c r="B134" s="14">
        <v>45854</v>
      </c>
      <c r="C134" t="s">
        <v>50</v>
      </c>
      <c r="D134" t="s">
        <v>133</v>
      </c>
      <c r="E134" t="s">
        <v>79</v>
      </c>
      <c r="F134" t="s">
        <v>23</v>
      </c>
      <c r="G134" t="s">
        <v>45</v>
      </c>
      <c r="H134" t="s">
        <v>46</v>
      </c>
      <c r="I134" t="s">
        <v>47</v>
      </c>
      <c r="J134" t="s">
        <v>27</v>
      </c>
      <c r="K134">
        <v>17</v>
      </c>
      <c r="L134">
        <v>67.1</v>
      </c>
      <c r="M134">
        <v>5</v>
      </c>
      <c r="N134" s="15">
        <f t="shared" si="2"/>
        <v>1140.7</v>
      </c>
      <c r="O134" t="s">
        <v>28</v>
      </c>
      <c r="P134" t="s">
        <v>71</v>
      </c>
      <c r="Q134" t="s">
        <v>76</v>
      </c>
      <c r="R134" t="s">
        <v>42</v>
      </c>
      <c r="S134">
        <v>2</v>
      </c>
      <c r="T134" t="s">
        <v>131</v>
      </c>
    </row>
    <row r="135" spans="1:20">
      <c r="A135">
        <v>134</v>
      </c>
      <c r="B135" s="14">
        <v>46009</v>
      </c>
      <c r="C135" t="s">
        <v>33</v>
      </c>
      <c r="D135" t="s">
        <v>124</v>
      </c>
      <c r="E135" t="s">
        <v>62</v>
      </c>
      <c r="F135" t="s">
        <v>23</v>
      </c>
      <c r="G135" t="s">
        <v>128</v>
      </c>
      <c r="H135" t="s">
        <v>58</v>
      </c>
      <c r="I135" t="s">
        <v>53</v>
      </c>
      <c r="J135" t="s">
        <v>48</v>
      </c>
      <c r="K135">
        <v>40</v>
      </c>
      <c r="L135">
        <v>25.98</v>
      </c>
      <c r="M135">
        <v>5</v>
      </c>
      <c r="N135" s="15">
        <f t="shared" si="2"/>
        <v>1039.2</v>
      </c>
      <c r="O135" t="s">
        <v>28</v>
      </c>
      <c r="P135" t="s">
        <v>64</v>
      </c>
      <c r="Q135" t="s">
        <v>76</v>
      </c>
      <c r="R135" t="s">
        <v>42</v>
      </c>
      <c r="S135">
        <v>5</v>
      </c>
      <c r="T135" t="s">
        <v>127</v>
      </c>
    </row>
    <row r="136" spans="1:20">
      <c r="A136">
        <v>135</v>
      </c>
      <c r="B136" s="14">
        <v>45870</v>
      </c>
      <c r="C136" t="s">
        <v>20</v>
      </c>
      <c r="D136" t="s">
        <v>126</v>
      </c>
      <c r="E136" t="s">
        <v>115</v>
      </c>
      <c r="F136" t="s">
        <v>91</v>
      </c>
      <c r="G136" t="s">
        <v>128</v>
      </c>
      <c r="H136" t="s">
        <v>25</v>
      </c>
      <c r="I136" t="s">
        <v>26</v>
      </c>
      <c r="J136" t="s">
        <v>27</v>
      </c>
      <c r="K136">
        <v>34</v>
      </c>
      <c r="L136">
        <v>47.44</v>
      </c>
      <c r="M136">
        <v>10</v>
      </c>
      <c r="N136" s="15">
        <f t="shared" si="2"/>
        <v>1612.96</v>
      </c>
      <c r="O136" t="s">
        <v>28</v>
      </c>
      <c r="P136" t="s">
        <v>71</v>
      </c>
      <c r="Q136" t="s">
        <v>30</v>
      </c>
      <c r="R136" t="s">
        <v>42</v>
      </c>
      <c r="S136">
        <v>5</v>
      </c>
      <c r="T136" t="s">
        <v>125</v>
      </c>
    </row>
    <row r="137" spans="1:20">
      <c r="A137">
        <v>136</v>
      </c>
      <c r="B137" s="14">
        <v>45951</v>
      </c>
      <c r="C137" t="s">
        <v>33</v>
      </c>
      <c r="D137" t="s">
        <v>61</v>
      </c>
      <c r="E137" t="s">
        <v>120</v>
      </c>
      <c r="F137" t="s">
        <v>23</v>
      </c>
      <c r="G137" t="s">
        <v>68</v>
      </c>
      <c r="H137" t="s">
        <v>73</v>
      </c>
      <c r="I137" t="s">
        <v>74</v>
      </c>
      <c r="J137" t="s">
        <v>39</v>
      </c>
      <c r="K137">
        <v>46</v>
      </c>
      <c r="L137">
        <v>60.4</v>
      </c>
      <c r="M137">
        <v>0</v>
      </c>
      <c r="N137" s="15">
        <f t="shared" si="2"/>
        <v>2778.4</v>
      </c>
      <c r="O137" t="s">
        <v>28</v>
      </c>
      <c r="P137" t="s">
        <v>71</v>
      </c>
      <c r="Q137" t="s">
        <v>76</v>
      </c>
      <c r="R137" t="s">
        <v>31</v>
      </c>
      <c r="S137">
        <v>5</v>
      </c>
      <c r="T137" t="s">
        <v>131</v>
      </c>
    </row>
    <row r="138" spans="1:20">
      <c r="A138">
        <v>137</v>
      </c>
      <c r="B138" s="14">
        <v>45891</v>
      </c>
      <c r="C138" t="s">
        <v>33</v>
      </c>
      <c r="D138" t="s">
        <v>124</v>
      </c>
      <c r="E138" t="s">
        <v>96</v>
      </c>
      <c r="F138" t="s">
        <v>44</v>
      </c>
      <c r="G138" t="s">
        <v>128</v>
      </c>
      <c r="H138" t="s">
        <v>46</v>
      </c>
      <c r="I138" t="s">
        <v>74</v>
      </c>
      <c r="J138" t="s">
        <v>63</v>
      </c>
      <c r="K138">
        <v>17</v>
      </c>
      <c r="L138">
        <v>82.56</v>
      </c>
      <c r="M138">
        <v>5</v>
      </c>
      <c r="N138" s="15">
        <f t="shared" si="2"/>
        <v>1403.52</v>
      </c>
      <c r="O138" t="s">
        <v>28</v>
      </c>
      <c r="P138" t="s">
        <v>71</v>
      </c>
      <c r="Q138" t="s">
        <v>76</v>
      </c>
      <c r="R138" t="s">
        <v>42</v>
      </c>
      <c r="S138">
        <v>1</v>
      </c>
      <c r="T138" t="s">
        <v>131</v>
      </c>
    </row>
    <row r="139" spans="1:20">
      <c r="A139">
        <v>138</v>
      </c>
      <c r="B139" s="14">
        <v>45935</v>
      </c>
      <c r="C139" t="s">
        <v>20</v>
      </c>
      <c r="D139" t="s">
        <v>124</v>
      </c>
      <c r="E139" t="s">
        <v>115</v>
      </c>
      <c r="F139" t="s">
        <v>44</v>
      </c>
      <c r="G139" t="s">
        <v>45</v>
      </c>
      <c r="H139" t="s">
        <v>73</v>
      </c>
      <c r="I139" t="s">
        <v>26</v>
      </c>
      <c r="J139" t="s">
        <v>39</v>
      </c>
      <c r="K139">
        <v>50</v>
      </c>
      <c r="L139">
        <v>65.94</v>
      </c>
      <c r="M139">
        <v>15</v>
      </c>
      <c r="N139" s="15">
        <f t="shared" si="2"/>
        <v>3297</v>
      </c>
      <c r="O139" t="s">
        <v>54</v>
      </c>
      <c r="P139" t="s">
        <v>71</v>
      </c>
      <c r="Q139" t="s">
        <v>76</v>
      </c>
      <c r="R139" t="s">
        <v>42</v>
      </c>
      <c r="S139">
        <v>4</v>
      </c>
      <c r="T139" t="s">
        <v>131</v>
      </c>
    </row>
    <row r="140" spans="1:20">
      <c r="A140">
        <v>139</v>
      </c>
      <c r="B140" s="14">
        <v>46007</v>
      </c>
      <c r="C140" t="s">
        <v>20</v>
      </c>
      <c r="D140" t="s">
        <v>61</v>
      </c>
      <c r="E140" t="s">
        <v>121</v>
      </c>
      <c r="F140" t="s">
        <v>91</v>
      </c>
      <c r="G140" t="s">
        <v>128</v>
      </c>
      <c r="H140" t="s">
        <v>46</v>
      </c>
      <c r="I140" t="s">
        <v>74</v>
      </c>
      <c r="J140" t="s">
        <v>39</v>
      </c>
      <c r="K140">
        <v>35</v>
      </c>
      <c r="L140">
        <v>42.34</v>
      </c>
      <c r="M140">
        <v>5</v>
      </c>
      <c r="N140" s="15">
        <f t="shared" si="2"/>
        <v>1481.9</v>
      </c>
      <c r="O140" t="s">
        <v>40</v>
      </c>
      <c r="P140" t="s">
        <v>71</v>
      </c>
      <c r="Q140" t="s">
        <v>30</v>
      </c>
      <c r="R140" t="s">
        <v>42</v>
      </c>
      <c r="S140">
        <v>4</v>
      </c>
      <c r="T140" t="s">
        <v>131</v>
      </c>
    </row>
    <row r="141" spans="1:20">
      <c r="A141">
        <v>140</v>
      </c>
      <c r="B141" s="14">
        <v>45930</v>
      </c>
      <c r="C141" t="s">
        <v>85</v>
      </c>
      <c r="D141" t="s">
        <v>61</v>
      </c>
      <c r="E141" t="s">
        <v>107</v>
      </c>
      <c r="F141" t="s">
        <v>91</v>
      </c>
      <c r="G141" t="s">
        <v>81</v>
      </c>
      <c r="H141" t="s">
        <v>46</v>
      </c>
      <c r="I141" t="s">
        <v>26</v>
      </c>
      <c r="J141" t="s">
        <v>48</v>
      </c>
      <c r="K141">
        <v>13</v>
      </c>
      <c r="L141">
        <v>94.05</v>
      </c>
      <c r="M141">
        <v>0</v>
      </c>
      <c r="N141" s="15">
        <f t="shared" si="2"/>
        <v>1222.65</v>
      </c>
      <c r="O141" t="s">
        <v>28</v>
      </c>
      <c r="P141" t="s">
        <v>71</v>
      </c>
      <c r="Q141" t="s">
        <v>30</v>
      </c>
      <c r="R141" t="s">
        <v>31</v>
      </c>
      <c r="S141">
        <v>2</v>
      </c>
      <c r="T141" t="s">
        <v>131</v>
      </c>
    </row>
    <row r="142" spans="1:20">
      <c r="A142">
        <v>141</v>
      </c>
      <c r="B142" s="14">
        <v>45709</v>
      </c>
      <c r="C142" t="s">
        <v>33</v>
      </c>
      <c r="D142" t="s">
        <v>124</v>
      </c>
      <c r="E142" t="s">
        <v>80</v>
      </c>
      <c r="F142" t="s">
        <v>91</v>
      </c>
      <c r="G142" t="s">
        <v>128</v>
      </c>
      <c r="H142" t="s">
        <v>58</v>
      </c>
      <c r="I142" t="s">
        <v>26</v>
      </c>
      <c r="J142" t="s">
        <v>27</v>
      </c>
      <c r="K142">
        <v>26</v>
      </c>
      <c r="L142">
        <v>46.7</v>
      </c>
      <c r="M142">
        <v>0</v>
      </c>
      <c r="N142" s="15">
        <f t="shared" si="2"/>
        <v>1214.2</v>
      </c>
      <c r="O142" t="s">
        <v>40</v>
      </c>
      <c r="P142" t="s">
        <v>71</v>
      </c>
      <c r="Q142" t="s">
        <v>76</v>
      </c>
      <c r="R142" t="s">
        <v>42</v>
      </c>
      <c r="S142">
        <v>3</v>
      </c>
      <c r="T142" t="s">
        <v>125</v>
      </c>
    </row>
    <row r="143" spans="1:20">
      <c r="A143">
        <v>142</v>
      </c>
      <c r="B143" s="14">
        <v>45952</v>
      </c>
      <c r="C143" t="s">
        <v>60</v>
      </c>
      <c r="D143" t="s">
        <v>126</v>
      </c>
      <c r="E143" t="s">
        <v>95</v>
      </c>
      <c r="F143" t="s">
        <v>130</v>
      </c>
      <c r="G143" t="s">
        <v>45</v>
      </c>
      <c r="H143" t="s">
        <v>25</v>
      </c>
      <c r="I143" t="s">
        <v>53</v>
      </c>
      <c r="J143" t="s">
        <v>39</v>
      </c>
      <c r="K143">
        <v>43</v>
      </c>
      <c r="L143">
        <v>54.52</v>
      </c>
      <c r="M143">
        <v>15</v>
      </c>
      <c r="N143" s="15">
        <f t="shared" si="2"/>
        <v>2344.36</v>
      </c>
      <c r="O143" t="s">
        <v>54</v>
      </c>
      <c r="P143" t="s">
        <v>132</v>
      </c>
      <c r="Q143" t="s">
        <v>30</v>
      </c>
      <c r="R143" t="s">
        <v>42</v>
      </c>
      <c r="S143">
        <v>5</v>
      </c>
      <c r="T143" t="s">
        <v>125</v>
      </c>
    </row>
    <row r="144" spans="1:20">
      <c r="A144">
        <v>143</v>
      </c>
      <c r="B144" s="14">
        <v>45978</v>
      </c>
      <c r="C144" t="s">
        <v>20</v>
      </c>
      <c r="D144" t="s">
        <v>133</v>
      </c>
      <c r="E144" t="s">
        <v>96</v>
      </c>
      <c r="F144" t="s">
        <v>44</v>
      </c>
      <c r="G144" t="s">
        <v>88</v>
      </c>
      <c r="H144" t="s">
        <v>46</v>
      </c>
      <c r="I144" t="s">
        <v>38</v>
      </c>
      <c r="J144" t="s">
        <v>48</v>
      </c>
      <c r="K144">
        <v>45</v>
      </c>
      <c r="L144">
        <v>44.55</v>
      </c>
      <c r="M144">
        <v>5</v>
      </c>
      <c r="N144" s="15">
        <f t="shared" si="2"/>
        <v>2004.75</v>
      </c>
      <c r="O144" t="s">
        <v>54</v>
      </c>
      <c r="P144" t="s">
        <v>71</v>
      </c>
      <c r="Q144" t="s">
        <v>76</v>
      </c>
      <c r="R144" t="s">
        <v>42</v>
      </c>
      <c r="S144">
        <v>4</v>
      </c>
      <c r="T144" t="s">
        <v>125</v>
      </c>
    </row>
    <row r="145" spans="1:20">
      <c r="A145">
        <v>144</v>
      </c>
      <c r="B145" s="14">
        <v>45773</v>
      </c>
      <c r="C145" t="s">
        <v>60</v>
      </c>
      <c r="D145" t="s">
        <v>61</v>
      </c>
      <c r="E145" t="s">
        <v>102</v>
      </c>
      <c r="F145" t="s">
        <v>91</v>
      </c>
      <c r="G145" t="s">
        <v>81</v>
      </c>
      <c r="H145" t="s">
        <v>58</v>
      </c>
      <c r="I145" t="s">
        <v>47</v>
      </c>
      <c r="J145" t="s">
        <v>63</v>
      </c>
      <c r="K145">
        <v>27</v>
      </c>
      <c r="L145">
        <v>57.94</v>
      </c>
      <c r="M145">
        <v>5</v>
      </c>
      <c r="N145" s="15">
        <f t="shared" si="2"/>
        <v>1564.38</v>
      </c>
      <c r="O145" t="s">
        <v>28</v>
      </c>
      <c r="P145" t="s">
        <v>64</v>
      </c>
      <c r="Q145" t="s">
        <v>30</v>
      </c>
      <c r="R145" t="s">
        <v>31</v>
      </c>
      <c r="S145">
        <v>3</v>
      </c>
      <c r="T145" t="s">
        <v>131</v>
      </c>
    </row>
    <row r="146" spans="1:20">
      <c r="A146">
        <v>145</v>
      </c>
      <c r="B146" s="14">
        <v>45888</v>
      </c>
      <c r="C146" t="s">
        <v>50</v>
      </c>
      <c r="D146" t="s">
        <v>129</v>
      </c>
      <c r="E146" t="s">
        <v>122</v>
      </c>
      <c r="F146" t="s">
        <v>91</v>
      </c>
      <c r="G146" t="s">
        <v>128</v>
      </c>
      <c r="H146" t="s">
        <v>25</v>
      </c>
      <c r="I146" t="s">
        <v>74</v>
      </c>
      <c r="J146" t="s">
        <v>48</v>
      </c>
      <c r="K146">
        <v>25</v>
      </c>
      <c r="L146">
        <v>69</v>
      </c>
      <c r="M146">
        <v>0</v>
      </c>
      <c r="N146" s="15">
        <f t="shared" si="2"/>
        <v>1725</v>
      </c>
      <c r="O146" t="s">
        <v>28</v>
      </c>
      <c r="P146" t="s">
        <v>71</v>
      </c>
      <c r="Q146" t="s">
        <v>76</v>
      </c>
      <c r="R146" t="s">
        <v>42</v>
      </c>
      <c r="S146">
        <v>1</v>
      </c>
      <c r="T146" t="s">
        <v>125</v>
      </c>
    </row>
    <row r="147" spans="1:20">
      <c r="A147">
        <v>146</v>
      </c>
      <c r="B147" s="14">
        <v>45903</v>
      </c>
      <c r="C147" t="s">
        <v>50</v>
      </c>
      <c r="D147" t="s">
        <v>61</v>
      </c>
      <c r="E147" t="s">
        <v>82</v>
      </c>
      <c r="F147" t="s">
        <v>23</v>
      </c>
      <c r="G147" t="s">
        <v>88</v>
      </c>
      <c r="H147" t="s">
        <v>25</v>
      </c>
      <c r="I147" t="s">
        <v>26</v>
      </c>
      <c r="J147" t="s">
        <v>27</v>
      </c>
      <c r="K147">
        <v>48</v>
      </c>
      <c r="L147">
        <v>99.96</v>
      </c>
      <c r="M147">
        <v>15</v>
      </c>
      <c r="N147" s="15">
        <f t="shared" si="2"/>
        <v>4798.08</v>
      </c>
      <c r="O147" t="s">
        <v>40</v>
      </c>
      <c r="P147" t="s">
        <v>64</v>
      </c>
      <c r="Q147" t="s">
        <v>76</v>
      </c>
      <c r="R147" t="s">
        <v>31</v>
      </c>
      <c r="S147">
        <v>5</v>
      </c>
      <c r="T147" t="s">
        <v>127</v>
      </c>
    </row>
    <row r="148" spans="1:20">
      <c r="A148">
        <v>147</v>
      </c>
      <c r="B148" s="14">
        <v>45802</v>
      </c>
      <c r="C148" t="s">
        <v>85</v>
      </c>
      <c r="D148" t="s">
        <v>133</v>
      </c>
      <c r="E148" t="s">
        <v>121</v>
      </c>
      <c r="F148" t="s">
        <v>130</v>
      </c>
      <c r="G148" t="s">
        <v>45</v>
      </c>
      <c r="H148" t="s">
        <v>46</v>
      </c>
      <c r="I148" t="s">
        <v>53</v>
      </c>
      <c r="J148" t="s">
        <v>48</v>
      </c>
      <c r="K148">
        <v>33</v>
      </c>
      <c r="L148">
        <v>88.87</v>
      </c>
      <c r="M148">
        <v>15</v>
      </c>
      <c r="N148" s="15">
        <f t="shared" si="2"/>
        <v>2932.71</v>
      </c>
      <c r="O148" t="s">
        <v>28</v>
      </c>
      <c r="P148" t="s">
        <v>71</v>
      </c>
      <c r="Q148" t="s">
        <v>30</v>
      </c>
      <c r="R148" t="s">
        <v>31</v>
      </c>
      <c r="S148">
        <v>3</v>
      </c>
      <c r="T148" t="s">
        <v>127</v>
      </c>
    </row>
    <row r="149" spans="1:20">
      <c r="A149">
        <v>148</v>
      </c>
      <c r="B149" s="14">
        <v>45869</v>
      </c>
      <c r="C149" t="s">
        <v>20</v>
      </c>
      <c r="D149" t="s">
        <v>126</v>
      </c>
      <c r="E149" t="s">
        <v>107</v>
      </c>
      <c r="F149" t="s">
        <v>130</v>
      </c>
      <c r="G149" t="s">
        <v>24</v>
      </c>
      <c r="H149" t="s">
        <v>58</v>
      </c>
      <c r="I149" t="s">
        <v>53</v>
      </c>
      <c r="J149" t="s">
        <v>63</v>
      </c>
      <c r="K149">
        <v>19</v>
      </c>
      <c r="L149">
        <v>19.48</v>
      </c>
      <c r="M149">
        <v>10</v>
      </c>
      <c r="N149" s="15">
        <f t="shared" si="2"/>
        <v>370.12</v>
      </c>
      <c r="O149" t="s">
        <v>40</v>
      </c>
      <c r="P149" t="s">
        <v>71</v>
      </c>
      <c r="Q149" t="s">
        <v>76</v>
      </c>
      <c r="R149" t="s">
        <v>42</v>
      </c>
      <c r="S149">
        <v>5</v>
      </c>
      <c r="T149" t="s">
        <v>127</v>
      </c>
    </row>
    <row r="150" spans="1:20">
      <c r="A150">
        <v>149</v>
      </c>
      <c r="B150" s="14">
        <v>45789</v>
      </c>
      <c r="C150" t="s">
        <v>50</v>
      </c>
      <c r="D150" t="s">
        <v>61</v>
      </c>
      <c r="E150" t="s">
        <v>105</v>
      </c>
      <c r="F150" t="s">
        <v>130</v>
      </c>
      <c r="G150" t="s">
        <v>128</v>
      </c>
      <c r="H150" t="s">
        <v>73</v>
      </c>
      <c r="I150" t="s">
        <v>38</v>
      </c>
      <c r="J150" t="s">
        <v>39</v>
      </c>
      <c r="K150">
        <v>47</v>
      </c>
      <c r="L150">
        <v>80.52</v>
      </c>
      <c r="M150">
        <v>5</v>
      </c>
      <c r="N150" s="15">
        <f t="shared" si="2"/>
        <v>3784.44</v>
      </c>
      <c r="O150" t="s">
        <v>40</v>
      </c>
      <c r="P150" t="s">
        <v>71</v>
      </c>
      <c r="Q150" t="s">
        <v>76</v>
      </c>
      <c r="R150" t="s">
        <v>42</v>
      </c>
      <c r="S150">
        <v>1</v>
      </c>
      <c r="T150" t="s">
        <v>131</v>
      </c>
    </row>
    <row r="151" spans="1:20">
      <c r="A151">
        <v>150</v>
      </c>
      <c r="B151" s="14">
        <v>45926</v>
      </c>
      <c r="C151" t="s">
        <v>20</v>
      </c>
      <c r="D151" t="s">
        <v>61</v>
      </c>
      <c r="E151" t="s">
        <v>52</v>
      </c>
      <c r="F151" t="s">
        <v>130</v>
      </c>
      <c r="G151" t="s">
        <v>88</v>
      </c>
      <c r="H151" t="s">
        <v>58</v>
      </c>
      <c r="I151" t="s">
        <v>38</v>
      </c>
      <c r="J151" t="s">
        <v>39</v>
      </c>
      <c r="K151">
        <v>41</v>
      </c>
      <c r="L151">
        <v>26.99</v>
      </c>
      <c r="M151">
        <v>5</v>
      </c>
      <c r="N151" s="15">
        <f t="shared" si="2"/>
        <v>1106.59</v>
      </c>
      <c r="O151" t="s">
        <v>28</v>
      </c>
      <c r="P151" t="s">
        <v>64</v>
      </c>
      <c r="Q151" t="s">
        <v>76</v>
      </c>
      <c r="R151" t="s">
        <v>42</v>
      </c>
      <c r="S151">
        <v>1</v>
      </c>
      <c r="T151" t="s">
        <v>131</v>
      </c>
    </row>
    <row r="152" spans="1:20">
      <c r="A152">
        <v>151</v>
      </c>
      <c r="B152" s="14">
        <v>45995</v>
      </c>
      <c r="C152" t="s">
        <v>85</v>
      </c>
      <c r="D152" t="s">
        <v>124</v>
      </c>
      <c r="E152" t="s">
        <v>78</v>
      </c>
      <c r="F152" t="s">
        <v>91</v>
      </c>
      <c r="G152" t="s">
        <v>68</v>
      </c>
      <c r="H152" t="s">
        <v>73</v>
      </c>
      <c r="I152" t="s">
        <v>74</v>
      </c>
      <c r="J152" t="s">
        <v>27</v>
      </c>
      <c r="K152">
        <v>34</v>
      </c>
      <c r="L152">
        <v>73.61</v>
      </c>
      <c r="M152">
        <v>0</v>
      </c>
      <c r="N152" s="15">
        <f t="shared" si="2"/>
        <v>2502.74</v>
      </c>
      <c r="O152" t="s">
        <v>54</v>
      </c>
      <c r="P152" t="s">
        <v>71</v>
      </c>
      <c r="Q152" t="s">
        <v>76</v>
      </c>
      <c r="R152" t="s">
        <v>31</v>
      </c>
      <c r="S152">
        <v>1</v>
      </c>
      <c r="T152" t="s">
        <v>131</v>
      </c>
    </row>
    <row r="153" spans="1:20">
      <c r="A153">
        <v>152</v>
      </c>
      <c r="B153" s="14">
        <v>45926</v>
      </c>
      <c r="C153" t="s">
        <v>50</v>
      </c>
      <c r="D153" t="s">
        <v>61</v>
      </c>
      <c r="E153" t="s">
        <v>101</v>
      </c>
      <c r="F153" t="s">
        <v>91</v>
      </c>
      <c r="G153" t="s">
        <v>68</v>
      </c>
      <c r="H153" t="s">
        <v>46</v>
      </c>
      <c r="I153" t="s">
        <v>53</v>
      </c>
      <c r="J153" t="s">
        <v>48</v>
      </c>
      <c r="K153">
        <v>26</v>
      </c>
      <c r="L153">
        <v>12.51</v>
      </c>
      <c r="M153">
        <v>15</v>
      </c>
      <c r="N153" s="15">
        <f t="shared" si="2"/>
        <v>325.26</v>
      </c>
      <c r="O153" t="s">
        <v>28</v>
      </c>
      <c r="P153" t="s">
        <v>64</v>
      </c>
      <c r="Q153" t="s">
        <v>76</v>
      </c>
      <c r="R153" t="s">
        <v>42</v>
      </c>
      <c r="S153">
        <v>1</v>
      </c>
      <c r="T153" t="s">
        <v>131</v>
      </c>
    </row>
    <row r="154" spans="1:20">
      <c r="A154">
        <v>153</v>
      </c>
      <c r="B154" s="14">
        <v>45992</v>
      </c>
      <c r="C154" t="s">
        <v>50</v>
      </c>
      <c r="D154" t="s">
        <v>124</v>
      </c>
      <c r="E154" t="s">
        <v>79</v>
      </c>
      <c r="F154" t="s">
        <v>44</v>
      </c>
      <c r="G154" t="s">
        <v>88</v>
      </c>
      <c r="H154" t="s">
        <v>73</v>
      </c>
      <c r="I154" t="s">
        <v>38</v>
      </c>
      <c r="J154" t="s">
        <v>63</v>
      </c>
      <c r="K154">
        <v>36</v>
      </c>
      <c r="L154">
        <v>50.22</v>
      </c>
      <c r="M154">
        <v>0</v>
      </c>
      <c r="N154" s="15">
        <f t="shared" si="2"/>
        <v>1807.92</v>
      </c>
      <c r="O154" t="s">
        <v>40</v>
      </c>
      <c r="P154" t="s">
        <v>71</v>
      </c>
      <c r="Q154" t="s">
        <v>76</v>
      </c>
      <c r="R154" t="s">
        <v>42</v>
      </c>
      <c r="S154">
        <v>1</v>
      </c>
      <c r="T154" t="s">
        <v>127</v>
      </c>
    </row>
    <row r="155" spans="1:20">
      <c r="A155">
        <v>154</v>
      </c>
      <c r="B155" s="14">
        <v>45947</v>
      </c>
      <c r="C155" t="s">
        <v>50</v>
      </c>
      <c r="D155" t="s">
        <v>124</v>
      </c>
      <c r="E155" t="s">
        <v>99</v>
      </c>
      <c r="F155" t="s">
        <v>44</v>
      </c>
      <c r="G155" t="s">
        <v>24</v>
      </c>
      <c r="H155" t="s">
        <v>25</v>
      </c>
      <c r="I155" t="s">
        <v>47</v>
      </c>
      <c r="J155" t="s">
        <v>63</v>
      </c>
      <c r="K155">
        <v>18</v>
      </c>
      <c r="L155">
        <v>9.42</v>
      </c>
      <c r="M155">
        <v>0</v>
      </c>
      <c r="N155" s="15">
        <f t="shared" si="2"/>
        <v>169.56</v>
      </c>
      <c r="O155" t="s">
        <v>54</v>
      </c>
      <c r="P155" t="s">
        <v>71</v>
      </c>
      <c r="Q155" t="s">
        <v>76</v>
      </c>
      <c r="R155" t="s">
        <v>42</v>
      </c>
      <c r="S155">
        <v>1</v>
      </c>
      <c r="T155" t="s">
        <v>125</v>
      </c>
    </row>
    <row r="156" spans="1:20">
      <c r="A156">
        <v>155</v>
      </c>
      <c r="B156" s="14">
        <v>45958</v>
      </c>
      <c r="C156" t="s">
        <v>50</v>
      </c>
      <c r="D156" t="s">
        <v>61</v>
      </c>
      <c r="E156" t="s">
        <v>102</v>
      </c>
      <c r="F156" t="s">
        <v>44</v>
      </c>
      <c r="G156" t="s">
        <v>88</v>
      </c>
      <c r="H156" t="s">
        <v>46</v>
      </c>
      <c r="I156" t="s">
        <v>26</v>
      </c>
      <c r="J156" t="s">
        <v>39</v>
      </c>
      <c r="K156">
        <v>37</v>
      </c>
      <c r="L156">
        <v>84.29</v>
      </c>
      <c r="M156">
        <v>15</v>
      </c>
      <c r="N156" s="15">
        <f t="shared" si="2"/>
        <v>3118.73</v>
      </c>
      <c r="O156" t="s">
        <v>54</v>
      </c>
      <c r="P156" t="s">
        <v>71</v>
      </c>
      <c r="Q156" t="s">
        <v>76</v>
      </c>
      <c r="R156" t="s">
        <v>42</v>
      </c>
      <c r="S156">
        <v>1</v>
      </c>
      <c r="T156" t="s">
        <v>131</v>
      </c>
    </row>
    <row r="157" spans="1:20">
      <c r="A157">
        <v>156</v>
      </c>
      <c r="B157" s="14">
        <v>45914</v>
      </c>
      <c r="C157" t="s">
        <v>20</v>
      </c>
      <c r="D157" t="s">
        <v>129</v>
      </c>
      <c r="E157" t="s">
        <v>117</v>
      </c>
      <c r="F157" t="s">
        <v>44</v>
      </c>
      <c r="G157" t="s">
        <v>81</v>
      </c>
      <c r="H157" t="s">
        <v>25</v>
      </c>
      <c r="I157" t="s">
        <v>74</v>
      </c>
      <c r="J157" t="s">
        <v>48</v>
      </c>
      <c r="K157">
        <v>39</v>
      </c>
      <c r="L157">
        <v>78.06</v>
      </c>
      <c r="M157">
        <v>0</v>
      </c>
      <c r="N157" s="15">
        <f t="shared" si="2"/>
        <v>3044.34</v>
      </c>
      <c r="O157" t="s">
        <v>28</v>
      </c>
      <c r="P157" t="s">
        <v>132</v>
      </c>
      <c r="Q157" t="s">
        <v>30</v>
      </c>
      <c r="R157" t="s">
        <v>42</v>
      </c>
      <c r="S157">
        <v>3</v>
      </c>
      <c r="T157" t="s">
        <v>131</v>
      </c>
    </row>
    <row r="158" spans="1:20">
      <c r="A158">
        <v>157</v>
      </c>
      <c r="B158" s="14">
        <v>45909</v>
      </c>
      <c r="C158" t="s">
        <v>50</v>
      </c>
      <c r="D158" t="s">
        <v>129</v>
      </c>
      <c r="E158" t="s">
        <v>96</v>
      </c>
      <c r="F158" t="s">
        <v>44</v>
      </c>
      <c r="G158" t="s">
        <v>81</v>
      </c>
      <c r="H158" t="s">
        <v>25</v>
      </c>
      <c r="I158" t="s">
        <v>47</v>
      </c>
      <c r="J158" t="s">
        <v>63</v>
      </c>
      <c r="K158">
        <v>6</v>
      </c>
      <c r="L158">
        <v>78.36</v>
      </c>
      <c r="M158">
        <v>10</v>
      </c>
      <c r="N158" s="15">
        <f t="shared" si="2"/>
        <v>470.16</v>
      </c>
      <c r="O158" t="s">
        <v>40</v>
      </c>
      <c r="P158" t="s">
        <v>71</v>
      </c>
      <c r="Q158" t="s">
        <v>30</v>
      </c>
      <c r="R158" t="s">
        <v>42</v>
      </c>
      <c r="S158">
        <v>2</v>
      </c>
      <c r="T158" t="s">
        <v>131</v>
      </c>
    </row>
    <row r="159" spans="1:20">
      <c r="A159">
        <v>158</v>
      </c>
      <c r="B159" s="14">
        <v>46022</v>
      </c>
      <c r="C159" t="s">
        <v>50</v>
      </c>
      <c r="D159" t="s">
        <v>124</v>
      </c>
      <c r="E159" t="s">
        <v>90</v>
      </c>
      <c r="F159" t="s">
        <v>130</v>
      </c>
      <c r="G159" t="s">
        <v>81</v>
      </c>
      <c r="H159" t="s">
        <v>46</v>
      </c>
      <c r="I159" t="s">
        <v>53</v>
      </c>
      <c r="J159" t="s">
        <v>27</v>
      </c>
      <c r="K159">
        <v>6</v>
      </c>
      <c r="L159">
        <v>5.49</v>
      </c>
      <c r="M159">
        <v>10</v>
      </c>
      <c r="N159" s="15">
        <f t="shared" si="2"/>
        <v>32.94</v>
      </c>
      <c r="O159" t="s">
        <v>28</v>
      </c>
      <c r="P159" t="s">
        <v>132</v>
      </c>
      <c r="Q159" t="s">
        <v>30</v>
      </c>
      <c r="R159" t="s">
        <v>31</v>
      </c>
      <c r="S159">
        <v>2</v>
      </c>
      <c r="T159" t="s">
        <v>131</v>
      </c>
    </row>
    <row r="160" spans="1:20">
      <c r="A160">
        <v>159</v>
      </c>
      <c r="B160" s="14">
        <v>45753</v>
      </c>
      <c r="C160" t="s">
        <v>85</v>
      </c>
      <c r="D160" t="s">
        <v>133</v>
      </c>
      <c r="E160" t="s">
        <v>96</v>
      </c>
      <c r="F160" t="s">
        <v>91</v>
      </c>
      <c r="G160" t="s">
        <v>68</v>
      </c>
      <c r="H160" t="s">
        <v>73</v>
      </c>
      <c r="I160" t="s">
        <v>74</v>
      </c>
      <c r="J160" t="s">
        <v>27</v>
      </c>
      <c r="K160">
        <v>6</v>
      </c>
      <c r="L160">
        <v>38.62</v>
      </c>
      <c r="M160">
        <v>0</v>
      </c>
      <c r="N160" s="15">
        <f t="shared" si="2"/>
        <v>231.72</v>
      </c>
      <c r="O160" t="s">
        <v>54</v>
      </c>
      <c r="P160" t="s">
        <v>71</v>
      </c>
      <c r="Q160" t="s">
        <v>30</v>
      </c>
      <c r="R160" t="s">
        <v>42</v>
      </c>
      <c r="S160">
        <v>4</v>
      </c>
      <c r="T160" t="s">
        <v>131</v>
      </c>
    </row>
    <row r="161" spans="1:20">
      <c r="A161">
        <v>160</v>
      </c>
      <c r="B161" s="14">
        <v>45701</v>
      </c>
      <c r="C161" t="s">
        <v>20</v>
      </c>
      <c r="D161" t="s">
        <v>126</v>
      </c>
      <c r="E161" t="s">
        <v>67</v>
      </c>
      <c r="F161" t="s">
        <v>91</v>
      </c>
      <c r="G161" t="s">
        <v>68</v>
      </c>
      <c r="H161" t="s">
        <v>25</v>
      </c>
      <c r="I161" t="s">
        <v>38</v>
      </c>
      <c r="J161" t="s">
        <v>39</v>
      </c>
      <c r="K161">
        <v>9</v>
      </c>
      <c r="L161">
        <v>30.55</v>
      </c>
      <c r="M161">
        <v>10</v>
      </c>
      <c r="N161" s="15">
        <f t="shared" si="2"/>
        <v>274.95</v>
      </c>
      <c r="O161" t="s">
        <v>28</v>
      </c>
      <c r="P161" t="s">
        <v>64</v>
      </c>
      <c r="Q161" t="s">
        <v>30</v>
      </c>
      <c r="R161" t="s">
        <v>31</v>
      </c>
      <c r="S161">
        <v>4</v>
      </c>
      <c r="T161" t="s">
        <v>127</v>
      </c>
    </row>
    <row r="162" spans="1:20">
      <c r="A162">
        <v>161</v>
      </c>
      <c r="B162" s="14">
        <v>45873</v>
      </c>
      <c r="C162" t="s">
        <v>60</v>
      </c>
      <c r="D162" t="s">
        <v>133</v>
      </c>
      <c r="E162" t="s">
        <v>52</v>
      </c>
      <c r="F162" t="s">
        <v>23</v>
      </c>
      <c r="G162" t="s">
        <v>45</v>
      </c>
      <c r="H162" t="s">
        <v>25</v>
      </c>
      <c r="I162" t="s">
        <v>38</v>
      </c>
      <c r="J162" t="s">
        <v>39</v>
      </c>
      <c r="K162">
        <v>30</v>
      </c>
      <c r="L162">
        <v>15.16</v>
      </c>
      <c r="M162">
        <v>10</v>
      </c>
      <c r="N162" s="15">
        <f t="shared" si="2"/>
        <v>454.8</v>
      </c>
      <c r="O162" t="s">
        <v>28</v>
      </c>
      <c r="P162" t="s">
        <v>71</v>
      </c>
      <c r="Q162" t="s">
        <v>30</v>
      </c>
      <c r="R162" t="s">
        <v>42</v>
      </c>
      <c r="S162">
        <v>4</v>
      </c>
      <c r="T162" t="s">
        <v>127</v>
      </c>
    </row>
    <row r="163" spans="1:20">
      <c r="A163">
        <v>162</v>
      </c>
      <c r="B163" s="14">
        <v>45883</v>
      </c>
      <c r="C163" t="s">
        <v>60</v>
      </c>
      <c r="D163" t="s">
        <v>133</v>
      </c>
      <c r="E163" t="s">
        <v>109</v>
      </c>
      <c r="F163" t="s">
        <v>91</v>
      </c>
      <c r="G163" t="s">
        <v>24</v>
      </c>
      <c r="H163" t="s">
        <v>46</v>
      </c>
      <c r="I163" t="s">
        <v>53</v>
      </c>
      <c r="J163" t="s">
        <v>39</v>
      </c>
      <c r="K163">
        <v>31</v>
      </c>
      <c r="L163">
        <v>34.85</v>
      </c>
      <c r="M163">
        <v>15</v>
      </c>
      <c r="N163" s="15">
        <f t="shared" si="2"/>
        <v>1080.35</v>
      </c>
      <c r="O163" t="s">
        <v>54</v>
      </c>
      <c r="P163" t="s">
        <v>132</v>
      </c>
      <c r="Q163" t="s">
        <v>76</v>
      </c>
      <c r="R163" t="s">
        <v>42</v>
      </c>
      <c r="S163">
        <v>2</v>
      </c>
      <c r="T163" t="s">
        <v>127</v>
      </c>
    </row>
    <row r="164" spans="1:20">
      <c r="A164">
        <v>163</v>
      </c>
      <c r="B164" s="14">
        <v>45850</v>
      </c>
      <c r="C164" t="s">
        <v>60</v>
      </c>
      <c r="D164" t="s">
        <v>61</v>
      </c>
      <c r="E164" t="s">
        <v>87</v>
      </c>
      <c r="F164" t="s">
        <v>23</v>
      </c>
      <c r="G164" t="s">
        <v>88</v>
      </c>
      <c r="H164" t="s">
        <v>58</v>
      </c>
      <c r="I164" t="s">
        <v>26</v>
      </c>
      <c r="J164" t="s">
        <v>39</v>
      </c>
      <c r="K164">
        <v>44</v>
      </c>
      <c r="L164">
        <v>77.92</v>
      </c>
      <c r="M164">
        <v>0</v>
      </c>
      <c r="N164" s="15">
        <f t="shared" si="2"/>
        <v>3428.48</v>
      </c>
      <c r="O164" t="s">
        <v>28</v>
      </c>
      <c r="P164" t="s">
        <v>64</v>
      </c>
      <c r="Q164" t="s">
        <v>76</v>
      </c>
      <c r="R164" t="s">
        <v>42</v>
      </c>
      <c r="S164">
        <v>1</v>
      </c>
      <c r="T164" t="s">
        <v>131</v>
      </c>
    </row>
    <row r="165" spans="1:20">
      <c r="A165">
        <v>164</v>
      </c>
      <c r="B165" s="14">
        <v>45867</v>
      </c>
      <c r="C165" t="s">
        <v>20</v>
      </c>
      <c r="D165" t="s">
        <v>133</v>
      </c>
      <c r="E165" t="s">
        <v>89</v>
      </c>
      <c r="F165" t="s">
        <v>130</v>
      </c>
      <c r="G165" t="s">
        <v>45</v>
      </c>
      <c r="H165" t="s">
        <v>25</v>
      </c>
      <c r="I165" t="s">
        <v>53</v>
      </c>
      <c r="J165" t="s">
        <v>39</v>
      </c>
      <c r="K165">
        <v>46</v>
      </c>
      <c r="L165">
        <v>45.2</v>
      </c>
      <c r="M165">
        <v>15</v>
      </c>
      <c r="N165" s="15">
        <f t="shared" si="2"/>
        <v>2079.2</v>
      </c>
      <c r="O165" t="s">
        <v>28</v>
      </c>
      <c r="P165" t="s">
        <v>71</v>
      </c>
      <c r="Q165" t="s">
        <v>76</v>
      </c>
      <c r="R165" t="s">
        <v>42</v>
      </c>
      <c r="S165">
        <v>4</v>
      </c>
      <c r="T165" t="s">
        <v>131</v>
      </c>
    </row>
    <row r="166" spans="1:20">
      <c r="A166">
        <v>165</v>
      </c>
      <c r="B166" s="14">
        <v>45936</v>
      </c>
      <c r="C166" t="s">
        <v>20</v>
      </c>
      <c r="D166" t="s">
        <v>61</v>
      </c>
      <c r="E166" t="s">
        <v>116</v>
      </c>
      <c r="F166" t="s">
        <v>130</v>
      </c>
      <c r="G166" t="s">
        <v>68</v>
      </c>
      <c r="H166" t="s">
        <v>58</v>
      </c>
      <c r="I166" t="s">
        <v>74</v>
      </c>
      <c r="J166" t="s">
        <v>27</v>
      </c>
      <c r="K166">
        <v>50</v>
      </c>
      <c r="L166">
        <v>28.58</v>
      </c>
      <c r="M166">
        <v>10</v>
      </c>
      <c r="N166" s="15">
        <f t="shared" si="2"/>
        <v>1429</v>
      </c>
      <c r="O166" t="s">
        <v>40</v>
      </c>
      <c r="P166" t="s">
        <v>71</v>
      </c>
      <c r="Q166" t="s">
        <v>76</v>
      </c>
      <c r="R166" t="s">
        <v>42</v>
      </c>
      <c r="S166">
        <v>4</v>
      </c>
      <c r="T166" t="s">
        <v>131</v>
      </c>
    </row>
    <row r="167" spans="1:20">
      <c r="A167">
        <v>166</v>
      </c>
      <c r="B167" s="14">
        <v>45663</v>
      </c>
      <c r="C167" t="s">
        <v>20</v>
      </c>
      <c r="D167" t="s">
        <v>129</v>
      </c>
      <c r="E167" t="s">
        <v>107</v>
      </c>
      <c r="F167" t="s">
        <v>91</v>
      </c>
      <c r="G167" t="s">
        <v>128</v>
      </c>
      <c r="H167" t="s">
        <v>58</v>
      </c>
      <c r="I167" t="s">
        <v>47</v>
      </c>
      <c r="J167" t="s">
        <v>39</v>
      </c>
      <c r="K167">
        <v>29</v>
      </c>
      <c r="L167">
        <v>40.54</v>
      </c>
      <c r="M167">
        <v>15</v>
      </c>
      <c r="N167" s="15">
        <f t="shared" si="2"/>
        <v>1175.66</v>
      </c>
      <c r="O167" t="s">
        <v>40</v>
      </c>
      <c r="P167" t="s">
        <v>132</v>
      </c>
      <c r="Q167" t="s">
        <v>30</v>
      </c>
      <c r="R167" t="s">
        <v>42</v>
      </c>
      <c r="S167">
        <v>1</v>
      </c>
      <c r="T167" t="s">
        <v>127</v>
      </c>
    </row>
    <row r="168" spans="1:20">
      <c r="A168">
        <v>167</v>
      </c>
      <c r="B168" s="14">
        <v>45870</v>
      </c>
      <c r="C168" t="s">
        <v>20</v>
      </c>
      <c r="D168" t="s">
        <v>124</v>
      </c>
      <c r="E168" t="s">
        <v>113</v>
      </c>
      <c r="F168" t="s">
        <v>91</v>
      </c>
      <c r="G168" t="s">
        <v>45</v>
      </c>
      <c r="H168" t="s">
        <v>46</v>
      </c>
      <c r="I168" t="s">
        <v>53</v>
      </c>
      <c r="J168" t="s">
        <v>63</v>
      </c>
      <c r="K168">
        <v>14</v>
      </c>
      <c r="L168">
        <v>54.51</v>
      </c>
      <c r="M168">
        <v>10</v>
      </c>
      <c r="N168" s="15">
        <f t="shared" si="2"/>
        <v>763.14</v>
      </c>
      <c r="O168" t="s">
        <v>28</v>
      </c>
      <c r="P168" t="s">
        <v>71</v>
      </c>
      <c r="Q168" t="s">
        <v>76</v>
      </c>
      <c r="R168" t="s">
        <v>42</v>
      </c>
      <c r="S168">
        <v>1</v>
      </c>
      <c r="T168" t="s">
        <v>131</v>
      </c>
    </row>
    <row r="169" spans="1:20">
      <c r="A169">
        <v>168</v>
      </c>
      <c r="B169" s="14">
        <v>45821</v>
      </c>
      <c r="C169" t="s">
        <v>20</v>
      </c>
      <c r="D169" t="s">
        <v>129</v>
      </c>
      <c r="E169" t="s">
        <v>118</v>
      </c>
      <c r="F169" t="s">
        <v>130</v>
      </c>
      <c r="G169" t="s">
        <v>88</v>
      </c>
      <c r="H169" t="s">
        <v>58</v>
      </c>
      <c r="I169" t="s">
        <v>53</v>
      </c>
      <c r="J169" t="s">
        <v>27</v>
      </c>
      <c r="K169">
        <v>44</v>
      </c>
      <c r="L169">
        <v>81</v>
      </c>
      <c r="M169">
        <v>5</v>
      </c>
      <c r="N169" s="15">
        <f t="shared" si="2"/>
        <v>3564</v>
      </c>
      <c r="O169" t="s">
        <v>40</v>
      </c>
      <c r="P169" t="s">
        <v>64</v>
      </c>
      <c r="Q169" t="s">
        <v>30</v>
      </c>
      <c r="R169" t="s">
        <v>42</v>
      </c>
      <c r="S169">
        <v>4</v>
      </c>
      <c r="T169" t="s">
        <v>131</v>
      </c>
    </row>
    <row r="170" spans="1:20">
      <c r="A170">
        <v>169</v>
      </c>
      <c r="B170" s="14">
        <v>45776</v>
      </c>
      <c r="C170" t="s">
        <v>50</v>
      </c>
      <c r="D170" t="s">
        <v>133</v>
      </c>
      <c r="E170" t="s">
        <v>104</v>
      </c>
      <c r="F170" t="s">
        <v>91</v>
      </c>
      <c r="G170" t="s">
        <v>24</v>
      </c>
      <c r="H170" t="s">
        <v>73</v>
      </c>
      <c r="I170" t="s">
        <v>38</v>
      </c>
      <c r="J170" t="s">
        <v>27</v>
      </c>
      <c r="K170">
        <v>48</v>
      </c>
      <c r="L170">
        <v>63.34</v>
      </c>
      <c r="M170">
        <v>5</v>
      </c>
      <c r="N170" s="15">
        <f t="shared" si="2"/>
        <v>3040.32</v>
      </c>
      <c r="O170" t="s">
        <v>28</v>
      </c>
      <c r="P170" t="s">
        <v>71</v>
      </c>
      <c r="Q170" t="s">
        <v>76</v>
      </c>
      <c r="R170" t="s">
        <v>31</v>
      </c>
      <c r="S170">
        <v>1</v>
      </c>
      <c r="T170" t="s">
        <v>125</v>
      </c>
    </row>
    <row r="171" spans="1:20">
      <c r="A171">
        <v>170</v>
      </c>
      <c r="B171" s="14">
        <v>45763</v>
      </c>
      <c r="C171" t="s">
        <v>60</v>
      </c>
      <c r="D171" t="s">
        <v>61</v>
      </c>
      <c r="E171" t="s">
        <v>102</v>
      </c>
      <c r="F171" t="s">
        <v>44</v>
      </c>
      <c r="G171" t="s">
        <v>68</v>
      </c>
      <c r="H171" t="s">
        <v>58</v>
      </c>
      <c r="I171" t="s">
        <v>47</v>
      </c>
      <c r="J171" t="s">
        <v>39</v>
      </c>
      <c r="K171">
        <v>24</v>
      </c>
      <c r="L171">
        <v>35.97</v>
      </c>
      <c r="M171">
        <v>15</v>
      </c>
      <c r="N171" s="15">
        <f t="shared" si="2"/>
        <v>863.28</v>
      </c>
      <c r="O171" t="s">
        <v>28</v>
      </c>
      <c r="P171" t="s">
        <v>132</v>
      </c>
      <c r="Q171" t="s">
        <v>76</v>
      </c>
      <c r="R171" t="s">
        <v>42</v>
      </c>
      <c r="S171">
        <v>1</v>
      </c>
      <c r="T171" t="s">
        <v>127</v>
      </c>
    </row>
    <row r="172" spans="1:20">
      <c r="A172">
        <v>171</v>
      </c>
      <c r="B172" s="14">
        <v>45963</v>
      </c>
      <c r="C172" t="s">
        <v>85</v>
      </c>
      <c r="D172" t="s">
        <v>126</v>
      </c>
      <c r="E172" t="s">
        <v>87</v>
      </c>
      <c r="F172" t="s">
        <v>91</v>
      </c>
      <c r="G172" t="s">
        <v>88</v>
      </c>
      <c r="H172" t="s">
        <v>46</v>
      </c>
      <c r="I172" t="s">
        <v>53</v>
      </c>
      <c r="J172" t="s">
        <v>63</v>
      </c>
      <c r="K172">
        <v>40</v>
      </c>
      <c r="L172">
        <v>21.39</v>
      </c>
      <c r="M172">
        <v>10</v>
      </c>
      <c r="N172" s="15">
        <f t="shared" si="2"/>
        <v>855.6</v>
      </c>
      <c r="O172" t="s">
        <v>28</v>
      </c>
      <c r="P172" t="s">
        <v>64</v>
      </c>
      <c r="Q172" t="s">
        <v>30</v>
      </c>
      <c r="R172" t="s">
        <v>31</v>
      </c>
      <c r="S172">
        <v>2</v>
      </c>
      <c r="T172" t="s">
        <v>127</v>
      </c>
    </row>
    <row r="173" spans="1:20">
      <c r="A173">
        <v>172</v>
      </c>
      <c r="B173" s="14">
        <v>45717</v>
      </c>
      <c r="C173" t="s">
        <v>50</v>
      </c>
      <c r="D173" t="s">
        <v>129</v>
      </c>
      <c r="E173" t="s">
        <v>57</v>
      </c>
      <c r="F173" t="s">
        <v>91</v>
      </c>
      <c r="G173" t="s">
        <v>68</v>
      </c>
      <c r="H173" t="s">
        <v>73</v>
      </c>
      <c r="I173" t="s">
        <v>38</v>
      </c>
      <c r="J173" t="s">
        <v>39</v>
      </c>
      <c r="K173">
        <v>37</v>
      </c>
      <c r="L173">
        <v>41.45</v>
      </c>
      <c r="M173">
        <v>5</v>
      </c>
      <c r="N173" s="15">
        <f t="shared" si="2"/>
        <v>1533.65</v>
      </c>
      <c r="O173" t="s">
        <v>28</v>
      </c>
      <c r="P173" t="s">
        <v>64</v>
      </c>
      <c r="Q173" t="s">
        <v>76</v>
      </c>
      <c r="R173" t="s">
        <v>42</v>
      </c>
      <c r="S173">
        <v>3</v>
      </c>
      <c r="T173" t="s">
        <v>125</v>
      </c>
    </row>
    <row r="174" spans="1:20">
      <c r="A174">
        <v>173</v>
      </c>
      <c r="B174" s="14">
        <v>45753</v>
      </c>
      <c r="C174" t="s">
        <v>60</v>
      </c>
      <c r="D174" t="s">
        <v>61</v>
      </c>
      <c r="E174" t="s">
        <v>80</v>
      </c>
      <c r="F174" t="s">
        <v>91</v>
      </c>
      <c r="G174" t="s">
        <v>88</v>
      </c>
      <c r="H174" t="s">
        <v>46</v>
      </c>
      <c r="I174" t="s">
        <v>74</v>
      </c>
      <c r="J174" t="s">
        <v>63</v>
      </c>
      <c r="K174">
        <v>9</v>
      </c>
      <c r="L174">
        <v>23.54</v>
      </c>
      <c r="M174">
        <v>15</v>
      </c>
      <c r="N174" s="15">
        <f t="shared" si="2"/>
        <v>211.86</v>
      </c>
      <c r="O174" t="s">
        <v>28</v>
      </c>
      <c r="P174" t="s">
        <v>71</v>
      </c>
      <c r="Q174" t="s">
        <v>76</v>
      </c>
      <c r="R174" t="s">
        <v>42</v>
      </c>
      <c r="S174">
        <v>1</v>
      </c>
      <c r="T174" t="s">
        <v>131</v>
      </c>
    </row>
    <row r="175" spans="1:20">
      <c r="A175">
        <v>174</v>
      </c>
      <c r="B175" s="14">
        <v>45908</v>
      </c>
      <c r="C175" t="s">
        <v>50</v>
      </c>
      <c r="D175" t="s">
        <v>124</v>
      </c>
      <c r="E175" t="s">
        <v>100</v>
      </c>
      <c r="F175" t="s">
        <v>44</v>
      </c>
      <c r="G175" t="s">
        <v>24</v>
      </c>
      <c r="H175" t="s">
        <v>46</v>
      </c>
      <c r="I175" t="s">
        <v>74</v>
      </c>
      <c r="J175" t="s">
        <v>48</v>
      </c>
      <c r="K175">
        <v>15</v>
      </c>
      <c r="L175">
        <v>56.07</v>
      </c>
      <c r="M175">
        <v>5</v>
      </c>
      <c r="N175" s="15">
        <f t="shared" si="2"/>
        <v>841.05</v>
      </c>
      <c r="O175" t="s">
        <v>28</v>
      </c>
      <c r="P175" t="s">
        <v>71</v>
      </c>
      <c r="Q175" t="s">
        <v>30</v>
      </c>
      <c r="R175" t="s">
        <v>42</v>
      </c>
      <c r="S175">
        <v>1</v>
      </c>
      <c r="T175" t="s">
        <v>127</v>
      </c>
    </row>
    <row r="176" spans="1:20">
      <c r="A176">
        <v>175</v>
      </c>
      <c r="B176" s="14">
        <v>45936</v>
      </c>
      <c r="C176" t="s">
        <v>50</v>
      </c>
      <c r="D176" t="s">
        <v>129</v>
      </c>
      <c r="E176" t="s">
        <v>121</v>
      </c>
      <c r="F176" t="s">
        <v>44</v>
      </c>
      <c r="G176" t="s">
        <v>128</v>
      </c>
      <c r="H176" t="s">
        <v>73</v>
      </c>
      <c r="I176" t="s">
        <v>47</v>
      </c>
      <c r="J176" t="s">
        <v>39</v>
      </c>
      <c r="K176">
        <v>28</v>
      </c>
      <c r="L176">
        <v>14.73</v>
      </c>
      <c r="M176">
        <v>5</v>
      </c>
      <c r="N176" s="15">
        <f t="shared" si="2"/>
        <v>412.44</v>
      </c>
      <c r="O176" t="s">
        <v>54</v>
      </c>
      <c r="P176" t="s">
        <v>71</v>
      </c>
      <c r="Q176" t="s">
        <v>76</v>
      </c>
      <c r="R176" t="s">
        <v>42</v>
      </c>
      <c r="S176">
        <v>3</v>
      </c>
      <c r="T176" t="s">
        <v>131</v>
      </c>
    </row>
    <row r="177" spans="1:20">
      <c r="A177">
        <v>176</v>
      </c>
      <c r="B177" s="14">
        <v>45882</v>
      </c>
      <c r="C177" t="s">
        <v>50</v>
      </c>
      <c r="D177" t="s">
        <v>124</v>
      </c>
      <c r="E177" t="s">
        <v>62</v>
      </c>
      <c r="F177" t="s">
        <v>91</v>
      </c>
      <c r="G177" t="s">
        <v>24</v>
      </c>
      <c r="H177" t="s">
        <v>58</v>
      </c>
      <c r="I177" t="s">
        <v>53</v>
      </c>
      <c r="J177" t="s">
        <v>63</v>
      </c>
      <c r="K177">
        <v>11</v>
      </c>
      <c r="L177">
        <v>63.53</v>
      </c>
      <c r="M177">
        <v>5</v>
      </c>
      <c r="N177" s="15">
        <f t="shared" si="2"/>
        <v>698.83</v>
      </c>
      <c r="O177" t="s">
        <v>40</v>
      </c>
      <c r="P177" t="s">
        <v>71</v>
      </c>
      <c r="Q177" t="s">
        <v>30</v>
      </c>
      <c r="R177" t="s">
        <v>42</v>
      </c>
      <c r="S177">
        <v>3</v>
      </c>
      <c r="T177" t="s">
        <v>125</v>
      </c>
    </row>
    <row r="178" spans="1:20">
      <c r="A178">
        <v>177</v>
      </c>
      <c r="B178" s="14">
        <v>45823</v>
      </c>
      <c r="C178" t="s">
        <v>20</v>
      </c>
      <c r="D178" t="s">
        <v>129</v>
      </c>
      <c r="E178" t="s">
        <v>72</v>
      </c>
      <c r="F178" t="s">
        <v>91</v>
      </c>
      <c r="G178" t="s">
        <v>45</v>
      </c>
      <c r="H178" t="s">
        <v>58</v>
      </c>
      <c r="I178" t="s">
        <v>74</v>
      </c>
      <c r="J178" t="s">
        <v>39</v>
      </c>
      <c r="K178">
        <v>49</v>
      </c>
      <c r="L178">
        <v>79.64</v>
      </c>
      <c r="M178">
        <v>0</v>
      </c>
      <c r="N178" s="15">
        <f t="shared" si="2"/>
        <v>3902.36</v>
      </c>
      <c r="O178" t="s">
        <v>54</v>
      </c>
      <c r="P178" t="s">
        <v>64</v>
      </c>
      <c r="Q178" t="s">
        <v>76</v>
      </c>
      <c r="R178" t="s">
        <v>31</v>
      </c>
      <c r="S178">
        <v>2</v>
      </c>
      <c r="T178" t="s">
        <v>127</v>
      </c>
    </row>
    <row r="179" spans="1:20">
      <c r="A179">
        <v>178</v>
      </c>
      <c r="B179" s="14">
        <v>45784</v>
      </c>
      <c r="C179" t="s">
        <v>50</v>
      </c>
      <c r="D179" t="s">
        <v>61</v>
      </c>
      <c r="E179" t="s">
        <v>69</v>
      </c>
      <c r="F179" t="s">
        <v>44</v>
      </c>
      <c r="G179" t="s">
        <v>81</v>
      </c>
      <c r="H179" t="s">
        <v>25</v>
      </c>
      <c r="I179" t="s">
        <v>47</v>
      </c>
      <c r="J179" t="s">
        <v>48</v>
      </c>
      <c r="K179">
        <v>41</v>
      </c>
      <c r="L179">
        <v>44.35</v>
      </c>
      <c r="M179">
        <v>15</v>
      </c>
      <c r="N179" s="15">
        <f t="shared" si="2"/>
        <v>1818.35</v>
      </c>
      <c r="O179" t="s">
        <v>28</v>
      </c>
      <c r="P179" t="s">
        <v>71</v>
      </c>
      <c r="Q179" t="s">
        <v>76</v>
      </c>
      <c r="R179" t="s">
        <v>42</v>
      </c>
      <c r="S179">
        <v>1</v>
      </c>
      <c r="T179" t="s">
        <v>127</v>
      </c>
    </row>
    <row r="180" spans="1:20">
      <c r="A180">
        <v>179</v>
      </c>
      <c r="B180" s="14">
        <v>46013</v>
      </c>
      <c r="C180" t="s">
        <v>60</v>
      </c>
      <c r="D180" t="s">
        <v>133</v>
      </c>
      <c r="E180" t="s">
        <v>105</v>
      </c>
      <c r="F180" t="s">
        <v>23</v>
      </c>
      <c r="G180" t="s">
        <v>68</v>
      </c>
      <c r="H180" t="s">
        <v>58</v>
      </c>
      <c r="I180" t="s">
        <v>74</v>
      </c>
      <c r="J180" t="s">
        <v>63</v>
      </c>
      <c r="K180">
        <v>41</v>
      </c>
      <c r="L180">
        <v>68.09</v>
      </c>
      <c r="M180">
        <v>10</v>
      </c>
      <c r="N180" s="15">
        <f t="shared" si="2"/>
        <v>2791.69</v>
      </c>
      <c r="O180" t="s">
        <v>28</v>
      </c>
      <c r="P180" t="s">
        <v>71</v>
      </c>
      <c r="Q180" t="s">
        <v>76</v>
      </c>
      <c r="R180" t="s">
        <v>42</v>
      </c>
      <c r="S180">
        <v>2</v>
      </c>
      <c r="T180" t="s">
        <v>131</v>
      </c>
    </row>
    <row r="181" spans="1:20">
      <c r="A181">
        <v>180</v>
      </c>
      <c r="B181" s="14">
        <v>45795</v>
      </c>
      <c r="C181" t="s">
        <v>60</v>
      </c>
      <c r="D181" t="s">
        <v>61</v>
      </c>
      <c r="E181" t="s">
        <v>72</v>
      </c>
      <c r="F181" t="s">
        <v>23</v>
      </c>
      <c r="G181" t="s">
        <v>68</v>
      </c>
      <c r="H181" t="s">
        <v>58</v>
      </c>
      <c r="I181" t="s">
        <v>26</v>
      </c>
      <c r="J181" t="s">
        <v>63</v>
      </c>
      <c r="K181">
        <v>22</v>
      </c>
      <c r="L181">
        <v>89.94</v>
      </c>
      <c r="M181">
        <v>0</v>
      </c>
      <c r="N181" s="15">
        <f t="shared" si="2"/>
        <v>1978.68</v>
      </c>
      <c r="O181" t="s">
        <v>28</v>
      </c>
      <c r="P181" t="s">
        <v>71</v>
      </c>
      <c r="Q181" t="s">
        <v>76</v>
      </c>
      <c r="R181" t="s">
        <v>31</v>
      </c>
      <c r="S181">
        <v>1</v>
      </c>
      <c r="T181" t="s">
        <v>125</v>
      </c>
    </row>
    <row r="182" spans="1:20">
      <c r="A182">
        <v>181</v>
      </c>
      <c r="B182" s="14">
        <v>45883</v>
      </c>
      <c r="C182" t="s">
        <v>85</v>
      </c>
      <c r="D182" t="s">
        <v>124</v>
      </c>
      <c r="E182" t="s">
        <v>103</v>
      </c>
      <c r="F182" t="s">
        <v>91</v>
      </c>
      <c r="G182" t="s">
        <v>128</v>
      </c>
      <c r="H182" t="s">
        <v>25</v>
      </c>
      <c r="I182" t="s">
        <v>53</v>
      </c>
      <c r="J182" t="s">
        <v>39</v>
      </c>
      <c r="K182">
        <v>18</v>
      </c>
      <c r="L182">
        <v>13.87</v>
      </c>
      <c r="M182">
        <v>10</v>
      </c>
      <c r="N182" s="15">
        <f t="shared" si="2"/>
        <v>249.66</v>
      </c>
      <c r="O182" t="s">
        <v>54</v>
      </c>
      <c r="P182" t="s">
        <v>71</v>
      </c>
      <c r="Q182" t="s">
        <v>30</v>
      </c>
      <c r="R182" t="s">
        <v>42</v>
      </c>
      <c r="S182">
        <v>1</v>
      </c>
      <c r="T182" t="s">
        <v>125</v>
      </c>
    </row>
    <row r="183" spans="1:20">
      <c r="A183">
        <v>182</v>
      </c>
      <c r="B183" s="14">
        <v>45684</v>
      </c>
      <c r="C183" t="s">
        <v>85</v>
      </c>
      <c r="D183" t="s">
        <v>124</v>
      </c>
      <c r="E183" t="s">
        <v>114</v>
      </c>
      <c r="F183" t="s">
        <v>130</v>
      </c>
      <c r="G183" t="s">
        <v>128</v>
      </c>
      <c r="H183" t="s">
        <v>25</v>
      </c>
      <c r="I183" t="s">
        <v>38</v>
      </c>
      <c r="J183" t="s">
        <v>27</v>
      </c>
      <c r="K183">
        <v>46</v>
      </c>
      <c r="L183">
        <v>14.04</v>
      </c>
      <c r="M183">
        <v>5</v>
      </c>
      <c r="N183" s="15">
        <f t="shared" si="2"/>
        <v>645.84</v>
      </c>
      <c r="O183" t="s">
        <v>28</v>
      </c>
      <c r="P183" t="s">
        <v>71</v>
      </c>
      <c r="Q183" t="s">
        <v>76</v>
      </c>
      <c r="R183" t="s">
        <v>42</v>
      </c>
      <c r="S183">
        <v>2</v>
      </c>
      <c r="T183" t="s">
        <v>131</v>
      </c>
    </row>
    <row r="184" spans="1:20">
      <c r="A184">
        <v>183</v>
      </c>
      <c r="B184" s="14">
        <v>45662</v>
      </c>
      <c r="C184" t="s">
        <v>20</v>
      </c>
      <c r="D184" t="s">
        <v>124</v>
      </c>
      <c r="E184" t="s">
        <v>82</v>
      </c>
      <c r="F184" t="s">
        <v>44</v>
      </c>
      <c r="G184" t="s">
        <v>81</v>
      </c>
      <c r="H184" t="s">
        <v>25</v>
      </c>
      <c r="I184" t="s">
        <v>38</v>
      </c>
      <c r="J184" t="s">
        <v>27</v>
      </c>
      <c r="K184">
        <v>15</v>
      </c>
      <c r="L184">
        <v>41.39</v>
      </c>
      <c r="M184">
        <v>0</v>
      </c>
      <c r="N184" s="15">
        <f t="shared" si="2"/>
        <v>620.85</v>
      </c>
      <c r="O184" t="s">
        <v>28</v>
      </c>
      <c r="P184" t="s">
        <v>132</v>
      </c>
      <c r="Q184" t="s">
        <v>30</v>
      </c>
      <c r="R184" t="s">
        <v>42</v>
      </c>
      <c r="S184">
        <v>2</v>
      </c>
      <c r="T184" t="s">
        <v>131</v>
      </c>
    </row>
    <row r="185" spans="1:20">
      <c r="A185">
        <v>184</v>
      </c>
      <c r="B185" s="14">
        <v>45726</v>
      </c>
      <c r="C185" t="s">
        <v>20</v>
      </c>
      <c r="D185" t="s">
        <v>124</v>
      </c>
      <c r="E185" t="s">
        <v>90</v>
      </c>
      <c r="F185" t="s">
        <v>44</v>
      </c>
      <c r="G185" t="s">
        <v>68</v>
      </c>
      <c r="H185" t="s">
        <v>58</v>
      </c>
      <c r="I185" t="s">
        <v>74</v>
      </c>
      <c r="J185" t="s">
        <v>39</v>
      </c>
      <c r="K185">
        <v>29</v>
      </c>
      <c r="L185">
        <v>38.36</v>
      </c>
      <c r="M185">
        <v>5</v>
      </c>
      <c r="N185" s="15">
        <f t="shared" si="2"/>
        <v>1112.44</v>
      </c>
      <c r="O185" t="s">
        <v>40</v>
      </c>
      <c r="P185" t="s">
        <v>71</v>
      </c>
      <c r="Q185" t="s">
        <v>76</v>
      </c>
      <c r="R185" t="s">
        <v>31</v>
      </c>
      <c r="S185">
        <v>1</v>
      </c>
      <c r="T185" t="s">
        <v>131</v>
      </c>
    </row>
    <row r="186" spans="1:20">
      <c r="A186">
        <v>185</v>
      </c>
      <c r="B186" s="14">
        <v>45729</v>
      </c>
      <c r="C186" t="s">
        <v>50</v>
      </c>
      <c r="D186" t="s">
        <v>124</v>
      </c>
      <c r="E186" t="s">
        <v>98</v>
      </c>
      <c r="F186" t="s">
        <v>130</v>
      </c>
      <c r="G186" t="s">
        <v>81</v>
      </c>
      <c r="H186" t="s">
        <v>46</v>
      </c>
      <c r="I186" t="s">
        <v>38</v>
      </c>
      <c r="J186" t="s">
        <v>48</v>
      </c>
      <c r="K186">
        <v>9</v>
      </c>
      <c r="L186">
        <v>28.54</v>
      </c>
      <c r="M186">
        <v>0</v>
      </c>
      <c r="N186" s="15">
        <f t="shared" si="2"/>
        <v>256.86</v>
      </c>
      <c r="O186" t="s">
        <v>40</v>
      </c>
      <c r="P186" t="s">
        <v>132</v>
      </c>
      <c r="Q186" t="s">
        <v>30</v>
      </c>
      <c r="R186" t="s">
        <v>42</v>
      </c>
      <c r="S186">
        <v>3</v>
      </c>
      <c r="T186" t="s">
        <v>125</v>
      </c>
    </row>
    <row r="187" spans="1:20">
      <c r="A187">
        <v>186</v>
      </c>
      <c r="B187" s="14">
        <v>45923</v>
      </c>
      <c r="C187" t="s">
        <v>33</v>
      </c>
      <c r="D187" t="s">
        <v>126</v>
      </c>
      <c r="E187" t="s">
        <v>101</v>
      </c>
      <c r="F187" t="s">
        <v>130</v>
      </c>
      <c r="G187" t="s">
        <v>81</v>
      </c>
      <c r="H187" t="s">
        <v>46</v>
      </c>
      <c r="I187" t="s">
        <v>74</v>
      </c>
      <c r="J187" t="s">
        <v>39</v>
      </c>
      <c r="K187">
        <v>32</v>
      </c>
      <c r="L187">
        <v>41.66</v>
      </c>
      <c r="M187">
        <v>5</v>
      </c>
      <c r="N187" s="15">
        <f t="shared" si="2"/>
        <v>1333.12</v>
      </c>
      <c r="O187" t="s">
        <v>28</v>
      </c>
      <c r="P187" t="s">
        <v>71</v>
      </c>
      <c r="Q187" t="s">
        <v>30</v>
      </c>
      <c r="R187" t="s">
        <v>42</v>
      </c>
      <c r="S187">
        <v>3</v>
      </c>
      <c r="T187" t="s">
        <v>125</v>
      </c>
    </row>
    <row r="188" spans="1:20">
      <c r="A188">
        <v>187</v>
      </c>
      <c r="B188" s="14">
        <v>45856</v>
      </c>
      <c r="C188" t="s">
        <v>50</v>
      </c>
      <c r="D188" t="s">
        <v>61</v>
      </c>
      <c r="E188" t="s">
        <v>100</v>
      </c>
      <c r="F188" t="s">
        <v>44</v>
      </c>
      <c r="G188" t="s">
        <v>45</v>
      </c>
      <c r="H188" t="s">
        <v>58</v>
      </c>
      <c r="I188" t="s">
        <v>26</v>
      </c>
      <c r="J188" t="s">
        <v>63</v>
      </c>
      <c r="K188">
        <v>50</v>
      </c>
      <c r="L188">
        <v>11.93</v>
      </c>
      <c r="M188">
        <v>0</v>
      </c>
      <c r="N188" s="15">
        <f t="shared" si="2"/>
        <v>596.5</v>
      </c>
      <c r="O188" t="s">
        <v>28</v>
      </c>
      <c r="P188" t="s">
        <v>71</v>
      </c>
      <c r="Q188" t="s">
        <v>30</v>
      </c>
      <c r="R188" t="s">
        <v>31</v>
      </c>
      <c r="S188">
        <v>1</v>
      </c>
      <c r="T188" t="s">
        <v>131</v>
      </c>
    </row>
    <row r="189" spans="1:20">
      <c r="A189">
        <v>188</v>
      </c>
      <c r="B189" s="14">
        <v>45861</v>
      </c>
      <c r="C189" t="s">
        <v>33</v>
      </c>
      <c r="D189" t="s">
        <v>129</v>
      </c>
      <c r="E189" t="s">
        <v>104</v>
      </c>
      <c r="F189" t="s">
        <v>130</v>
      </c>
      <c r="G189" t="s">
        <v>68</v>
      </c>
      <c r="H189" t="s">
        <v>73</v>
      </c>
      <c r="I189" t="s">
        <v>38</v>
      </c>
      <c r="J189" t="s">
        <v>63</v>
      </c>
      <c r="K189">
        <v>6</v>
      </c>
      <c r="L189">
        <v>65.85</v>
      </c>
      <c r="M189">
        <v>0</v>
      </c>
      <c r="N189" s="15">
        <f t="shared" si="2"/>
        <v>395.1</v>
      </c>
      <c r="O189" t="s">
        <v>40</v>
      </c>
      <c r="P189" t="s">
        <v>132</v>
      </c>
      <c r="Q189" t="s">
        <v>30</v>
      </c>
      <c r="R189" t="s">
        <v>42</v>
      </c>
      <c r="S189">
        <v>1</v>
      </c>
      <c r="T189" t="s">
        <v>125</v>
      </c>
    </row>
    <row r="190" spans="1:20">
      <c r="A190">
        <v>189</v>
      </c>
      <c r="B190" s="14">
        <v>45737</v>
      </c>
      <c r="C190" t="s">
        <v>33</v>
      </c>
      <c r="D190" t="s">
        <v>129</v>
      </c>
      <c r="E190" t="s">
        <v>87</v>
      </c>
      <c r="F190" t="s">
        <v>91</v>
      </c>
      <c r="G190" t="s">
        <v>128</v>
      </c>
      <c r="H190" t="s">
        <v>58</v>
      </c>
      <c r="I190" t="s">
        <v>53</v>
      </c>
      <c r="J190" t="s">
        <v>63</v>
      </c>
      <c r="K190">
        <v>47</v>
      </c>
      <c r="L190">
        <v>95.58</v>
      </c>
      <c r="M190">
        <v>5</v>
      </c>
      <c r="N190" s="15">
        <f t="shared" si="2"/>
        <v>4492.26</v>
      </c>
      <c r="O190" t="s">
        <v>28</v>
      </c>
      <c r="P190" t="s">
        <v>64</v>
      </c>
      <c r="Q190" t="s">
        <v>30</v>
      </c>
      <c r="R190" t="s">
        <v>42</v>
      </c>
      <c r="S190">
        <v>1</v>
      </c>
      <c r="T190" t="s">
        <v>131</v>
      </c>
    </row>
    <row r="191" spans="1:20">
      <c r="A191">
        <v>190</v>
      </c>
      <c r="B191" s="14">
        <v>45971</v>
      </c>
      <c r="C191" t="s">
        <v>33</v>
      </c>
      <c r="D191" t="s">
        <v>124</v>
      </c>
      <c r="E191" t="s">
        <v>114</v>
      </c>
      <c r="F191" t="s">
        <v>130</v>
      </c>
      <c r="G191" t="s">
        <v>128</v>
      </c>
      <c r="H191" t="s">
        <v>25</v>
      </c>
      <c r="I191" t="s">
        <v>74</v>
      </c>
      <c r="J191" t="s">
        <v>27</v>
      </c>
      <c r="K191">
        <v>46</v>
      </c>
      <c r="L191">
        <v>18.04</v>
      </c>
      <c r="M191">
        <v>0</v>
      </c>
      <c r="N191" s="15">
        <f t="shared" si="2"/>
        <v>829.84</v>
      </c>
      <c r="O191" t="s">
        <v>40</v>
      </c>
      <c r="P191" t="s">
        <v>71</v>
      </c>
      <c r="Q191" t="s">
        <v>30</v>
      </c>
      <c r="R191" t="s">
        <v>42</v>
      </c>
      <c r="S191">
        <v>5</v>
      </c>
      <c r="T191" t="s">
        <v>127</v>
      </c>
    </row>
    <row r="192" spans="1:20">
      <c r="A192">
        <v>191</v>
      </c>
      <c r="B192" s="14">
        <v>45743</v>
      </c>
      <c r="C192" t="s">
        <v>60</v>
      </c>
      <c r="D192" t="s">
        <v>61</v>
      </c>
      <c r="E192" t="s">
        <v>22</v>
      </c>
      <c r="F192" t="s">
        <v>23</v>
      </c>
      <c r="G192" t="s">
        <v>128</v>
      </c>
      <c r="H192" t="s">
        <v>58</v>
      </c>
      <c r="I192" t="s">
        <v>74</v>
      </c>
      <c r="J192" t="s">
        <v>48</v>
      </c>
      <c r="K192">
        <v>28</v>
      </c>
      <c r="L192">
        <v>30.84</v>
      </c>
      <c r="M192">
        <v>0</v>
      </c>
      <c r="N192" s="15">
        <f t="shared" si="2"/>
        <v>863.52</v>
      </c>
      <c r="O192" t="s">
        <v>54</v>
      </c>
      <c r="P192" t="s">
        <v>71</v>
      </c>
      <c r="Q192" t="s">
        <v>76</v>
      </c>
      <c r="R192" t="s">
        <v>42</v>
      </c>
      <c r="S192">
        <v>5</v>
      </c>
      <c r="T192" t="s">
        <v>127</v>
      </c>
    </row>
    <row r="193" spans="1:20">
      <c r="A193">
        <v>192</v>
      </c>
      <c r="B193" s="14">
        <v>45686</v>
      </c>
      <c r="C193" t="s">
        <v>85</v>
      </c>
      <c r="D193" t="s">
        <v>61</v>
      </c>
      <c r="E193" t="s">
        <v>100</v>
      </c>
      <c r="F193" t="s">
        <v>91</v>
      </c>
      <c r="G193" t="s">
        <v>45</v>
      </c>
      <c r="H193" t="s">
        <v>25</v>
      </c>
      <c r="I193" t="s">
        <v>53</v>
      </c>
      <c r="J193" t="s">
        <v>27</v>
      </c>
      <c r="K193">
        <v>37</v>
      </c>
      <c r="L193">
        <v>69.04</v>
      </c>
      <c r="M193">
        <v>0</v>
      </c>
      <c r="N193" s="15">
        <f t="shared" si="2"/>
        <v>2554.48</v>
      </c>
      <c r="O193" t="s">
        <v>40</v>
      </c>
      <c r="P193" t="s">
        <v>71</v>
      </c>
      <c r="Q193" t="s">
        <v>30</v>
      </c>
      <c r="R193" t="s">
        <v>31</v>
      </c>
      <c r="S193">
        <v>2</v>
      </c>
      <c r="T193" t="s">
        <v>131</v>
      </c>
    </row>
    <row r="194" spans="1:20">
      <c r="A194">
        <v>193</v>
      </c>
      <c r="B194" s="14">
        <v>45899</v>
      </c>
      <c r="C194" t="s">
        <v>60</v>
      </c>
      <c r="D194" t="s">
        <v>133</v>
      </c>
      <c r="E194" t="s">
        <v>90</v>
      </c>
      <c r="F194" t="s">
        <v>91</v>
      </c>
      <c r="G194" t="s">
        <v>88</v>
      </c>
      <c r="H194" t="s">
        <v>58</v>
      </c>
      <c r="I194" t="s">
        <v>38</v>
      </c>
      <c r="J194" t="s">
        <v>39</v>
      </c>
      <c r="K194">
        <v>21</v>
      </c>
      <c r="L194">
        <v>28.59</v>
      </c>
      <c r="M194">
        <v>10</v>
      </c>
      <c r="N194" s="15">
        <f t="shared" ref="N194:N257" si="3">PRODUCT(K194,L194)</f>
        <v>600.39</v>
      </c>
      <c r="O194" t="s">
        <v>54</v>
      </c>
      <c r="P194" t="s">
        <v>71</v>
      </c>
      <c r="Q194" t="s">
        <v>30</v>
      </c>
      <c r="R194" t="s">
        <v>31</v>
      </c>
      <c r="S194">
        <v>5</v>
      </c>
      <c r="T194" t="s">
        <v>131</v>
      </c>
    </row>
    <row r="195" spans="1:20">
      <c r="A195">
        <v>194</v>
      </c>
      <c r="B195" s="14">
        <v>45749</v>
      </c>
      <c r="C195" t="s">
        <v>50</v>
      </c>
      <c r="D195" t="s">
        <v>61</v>
      </c>
      <c r="E195" t="s">
        <v>99</v>
      </c>
      <c r="F195" t="s">
        <v>44</v>
      </c>
      <c r="G195" t="s">
        <v>81</v>
      </c>
      <c r="H195" t="s">
        <v>58</v>
      </c>
      <c r="I195" t="s">
        <v>38</v>
      </c>
      <c r="J195" t="s">
        <v>48</v>
      </c>
      <c r="K195">
        <v>50</v>
      </c>
      <c r="L195">
        <v>85.26</v>
      </c>
      <c r="M195">
        <v>10</v>
      </c>
      <c r="N195" s="15">
        <f t="shared" si="3"/>
        <v>4263</v>
      </c>
      <c r="O195" t="s">
        <v>28</v>
      </c>
      <c r="P195" t="s">
        <v>71</v>
      </c>
      <c r="Q195" t="s">
        <v>30</v>
      </c>
      <c r="R195" t="s">
        <v>42</v>
      </c>
      <c r="S195">
        <v>2</v>
      </c>
      <c r="T195" t="s">
        <v>127</v>
      </c>
    </row>
    <row r="196" spans="1:20">
      <c r="A196">
        <v>195</v>
      </c>
      <c r="B196" s="14">
        <v>45946</v>
      </c>
      <c r="C196" t="s">
        <v>50</v>
      </c>
      <c r="D196" t="s">
        <v>129</v>
      </c>
      <c r="E196" t="s">
        <v>22</v>
      </c>
      <c r="F196" t="s">
        <v>91</v>
      </c>
      <c r="G196" t="s">
        <v>24</v>
      </c>
      <c r="H196" t="s">
        <v>73</v>
      </c>
      <c r="I196" t="s">
        <v>53</v>
      </c>
      <c r="J196" t="s">
        <v>63</v>
      </c>
      <c r="K196">
        <v>50</v>
      </c>
      <c r="L196">
        <v>78.71</v>
      </c>
      <c r="M196">
        <v>0</v>
      </c>
      <c r="N196" s="15">
        <f t="shared" si="3"/>
        <v>3935.5</v>
      </c>
      <c r="O196" t="s">
        <v>40</v>
      </c>
      <c r="P196" t="s">
        <v>64</v>
      </c>
      <c r="Q196" t="s">
        <v>30</v>
      </c>
      <c r="R196" t="s">
        <v>42</v>
      </c>
      <c r="S196">
        <v>1</v>
      </c>
      <c r="T196" t="s">
        <v>125</v>
      </c>
    </row>
    <row r="197" spans="1:20">
      <c r="A197">
        <v>196</v>
      </c>
      <c r="B197" s="14">
        <v>45935</v>
      </c>
      <c r="C197" t="s">
        <v>60</v>
      </c>
      <c r="D197" t="s">
        <v>124</v>
      </c>
      <c r="E197" t="s">
        <v>57</v>
      </c>
      <c r="F197" t="s">
        <v>44</v>
      </c>
      <c r="G197" t="s">
        <v>45</v>
      </c>
      <c r="H197" t="s">
        <v>58</v>
      </c>
      <c r="I197" t="s">
        <v>38</v>
      </c>
      <c r="J197" t="s">
        <v>48</v>
      </c>
      <c r="K197">
        <v>7</v>
      </c>
      <c r="L197">
        <v>24.49</v>
      </c>
      <c r="M197">
        <v>5</v>
      </c>
      <c r="N197" s="15">
        <f t="shared" si="3"/>
        <v>171.43</v>
      </c>
      <c r="O197" t="s">
        <v>28</v>
      </c>
      <c r="P197" t="s">
        <v>71</v>
      </c>
      <c r="Q197" t="s">
        <v>30</v>
      </c>
      <c r="R197" t="s">
        <v>31</v>
      </c>
      <c r="S197">
        <v>1</v>
      </c>
      <c r="T197" t="s">
        <v>127</v>
      </c>
    </row>
    <row r="198" spans="1:20">
      <c r="A198">
        <v>197</v>
      </c>
      <c r="B198" s="14">
        <v>45705</v>
      </c>
      <c r="C198" t="s">
        <v>20</v>
      </c>
      <c r="D198" t="s">
        <v>61</v>
      </c>
      <c r="E198" t="s">
        <v>99</v>
      </c>
      <c r="F198" t="s">
        <v>44</v>
      </c>
      <c r="G198" t="s">
        <v>128</v>
      </c>
      <c r="H198" t="s">
        <v>46</v>
      </c>
      <c r="I198" t="s">
        <v>38</v>
      </c>
      <c r="J198" t="s">
        <v>27</v>
      </c>
      <c r="K198">
        <v>38</v>
      </c>
      <c r="L198">
        <v>14.08</v>
      </c>
      <c r="M198">
        <v>5</v>
      </c>
      <c r="N198" s="15">
        <f t="shared" si="3"/>
        <v>535.04</v>
      </c>
      <c r="O198" t="s">
        <v>28</v>
      </c>
      <c r="P198" t="s">
        <v>71</v>
      </c>
      <c r="Q198" t="s">
        <v>30</v>
      </c>
      <c r="R198" t="s">
        <v>42</v>
      </c>
      <c r="S198">
        <v>1</v>
      </c>
      <c r="T198" t="s">
        <v>125</v>
      </c>
    </row>
    <row r="199" spans="1:20">
      <c r="A199">
        <v>198</v>
      </c>
      <c r="B199" s="14">
        <v>45779</v>
      </c>
      <c r="C199" t="s">
        <v>60</v>
      </c>
      <c r="D199" t="s">
        <v>129</v>
      </c>
      <c r="E199" t="s">
        <v>108</v>
      </c>
      <c r="F199" t="s">
        <v>44</v>
      </c>
      <c r="G199" t="s">
        <v>128</v>
      </c>
      <c r="H199" t="s">
        <v>46</v>
      </c>
      <c r="I199" t="s">
        <v>53</v>
      </c>
      <c r="J199" t="s">
        <v>63</v>
      </c>
      <c r="K199">
        <v>18</v>
      </c>
      <c r="L199">
        <v>27.19</v>
      </c>
      <c r="M199">
        <v>5</v>
      </c>
      <c r="N199" s="15">
        <f t="shared" si="3"/>
        <v>489.42</v>
      </c>
      <c r="O199" t="s">
        <v>40</v>
      </c>
      <c r="P199" t="s">
        <v>71</v>
      </c>
      <c r="Q199" t="s">
        <v>76</v>
      </c>
      <c r="R199" t="s">
        <v>31</v>
      </c>
      <c r="S199">
        <v>2</v>
      </c>
      <c r="T199" t="s">
        <v>131</v>
      </c>
    </row>
    <row r="200" spans="1:20">
      <c r="A200">
        <v>199</v>
      </c>
      <c r="B200" s="14">
        <v>45896</v>
      </c>
      <c r="C200" t="s">
        <v>60</v>
      </c>
      <c r="D200" t="s">
        <v>133</v>
      </c>
      <c r="E200" t="s">
        <v>119</v>
      </c>
      <c r="F200" t="s">
        <v>91</v>
      </c>
      <c r="G200" t="s">
        <v>45</v>
      </c>
      <c r="H200" t="s">
        <v>25</v>
      </c>
      <c r="I200" t="s">
        <v>38</v>
      </c>
      <c r="J200" t="s">
        <v>48</v>
      </c>
      <c r="K200">
        <v>30</v>
      </c>
      <c r="L200">
        <v>30.18</v>
      </c>
      <c r="M200">
        <v>0</v>
      </c>
      <c r="N200" s="15">
        <f t="shared" si="3"/>
        <v>905.4</v>
      </c>
      <c r="O200" t="s">
        <v>28</v>
      </c>
      <c r="P200" t="s">
        <v>64</v>
      </c>
      <c r="Q200" t="s">
        <v>30</v>
      </c>
      <c r="R200" t="s">
        <v>42</v>
      </c>
      <c r="S200">
        <v>1</v>
      </c>
      <c r="T200" t="s">
        <v>131</v>
      </c>
    </row>
    <row r="201" spans="1:20">
      <c r="A201">
        <v>200</v>
      </c>
      <c r="B201" s="14">
        <v>45768</v>
      </c>
      <c r="C201" t="s">
        <v>50</v>
      </c>
      <c r="D201" t="s">
        <v>61</v>
      </c>
      <c r="E201" t="s">
        <v>108</v>
      </c>
      <c r="F201" t="s">
        <v>91</v>
      </c>
      <c r="G201" t="s">
        <v>88</v>
      </c>
      <c r="H201" t="s">
        <v>25</v>
      </c>
      <c r="I201" t="s">
        <v>53</v>
      </c>
      <c r="J201" t="s">
        <v>63</v>
      </c>
      <c r="K201">
        <v>33</v>
      </c>
      <c r="L201">
        <v>9.65</v>
      </c>
      <c r="M201">
        <v>10</v>
      </c>
      <c r="N201" s="15">
        <f t="shared" si="3"/>
        <v>318.45</v>
      </c>
      <c r="O201" t="s">
        <v>54</v>
      </c>
      <c r="P201" t="s">
        <v>64</v>
      </c>
      <c r="Q201" t="s">
        <v>30</v>
      </c>
      <c r="R201" t="s">
        <v>42</v>
      </c>
      <c r="S201">
        <v>4</v>
      </c>
      <c r="T201" t="s">
        <v>125</v>
      </c>
    </row>
    <row r="202" spans="1:20">
      <c r="A202">
        <v>201</v>
      </c>
      <c r="B202" s="14">
        <v>45706</v>
      </c>
      <c r="C202" t="s">
        <v>85</v>
      </c>
      <c r="D202" t="s">
        <v>124</v>
      </c>
      <c r="E202" t="s">
        <v>89</v>
      </c>
      <c r="F202" t="s">
        <v>44</v>
      </c>
      <c r="G202" t="s">
        <v>88</v>
      </c>
      <c r="H202" t="s">
        <v>58</v>
      </c>
      <c r="I202" t="s">
        <v>26</v>
      </c>
      <c r="J202" t="s">
        <v>39</v>
      </c>
      <c r="K202">
        <v>13</v>
      </c>
      <c r="L202">
        <v>83.25</v>
      </c>
      <c r="M202">
        <v>10</v>
      </c>
      <c r="N202" s="15">
        <f t="shared" si="3"/>
        <v>1082.25</v>
      </c>
      <c r="O202" t="s">
        <v>28</v>
      </c>
      <c r="P202" t="s">
        <v>132</v>
      </c>
      <c r="Q202" t="s">
        <v>30</v>
      </c>
      <c r="R202" t="s">
        <v>31</v>
      </c>
      <c r="S202">
        <v>1</v>
      </c>
      <c r="T202" t="s">
        <v>125</v>
      </c>
    </row>
    <row r="203" spans="1:20">
      <c r="A203">
        <v>202</v>
      </c>
      <c r="B203" s="14">
        <v>45988</v>
      </c>
      <c r="C203" t="s">
        <v>85</v>
      </c>
      <c r="D203" t="s">
        <v>61</v>
      </c>
      <c r="E203" t="s">
        <v>89</v>
      </c>
      <c r="F203" t="s">
        <v>44</v>
      </c>
      <c r="G203" t="s">
        <v>45</v>
      </c>
      <c r="H203" t="s">
        <v>58</v>
      </c>
      <c r="I203" t="s">
        <v>74</v>
      </c>
      <c r="J203" t="s">
        <v>63</v>
      </c>
      <c r="K203">
        <v>4</v>
      </c>
      <c r="L203">
        <v>20.96</v>
      </c>
      <c r="M203">
        <v>0</v>
      </c>
      <c r="N203" s="15">
        <f t="shared" si="3"/>
        <v>83.84</v>
      </c>
      <c r="O203" t="s">
        <v>28</v>
      </c>
      <c r="P203" t="s">
        <v>71</v>
      </c>
      <c r="Q203" t="s">
        <v>76</v>
      </c>
      <c r="R203" t="s">
        <v>31</v>
      </c>
      <c r="S203">
        <v>4</v>
      </c>
      <c r="T203" t="s">
        <v>131</v>
      </c>
    </row>
    <row r="204" spans="1:20">
      <c r="A204">
        <v>203</v>
      </c>
      <c r="B204" s="14">
        <v>45746</v>
      </c>
      <c r="C204" t="s">
        <v>60</v>
      </c>
      <c r="D204" t="s">
        <v>61</v>
      </c>
      <c r="E204" t="s">
        <v>92</v>
      </c>
      <c r="F204" t="s">
        <v>23</v>
      </c>
      <c r="G204" t="s">
        <v>45</v>
      </c>
      <c r="H204" t="s">
        <v>73</v>
      </c>
      <c r="I204" t="s">
        <v>26</v>
      </c>
      <c r="J204" t="s">
        <v>27</v>
      </c>
      <c r="K204">
        <v>40</v>
      </c>
      <c r="L204">
        <v>63.82</v>
      </c>
      <c r="M204">
        <v>5</v>
      </c>
      <c r="N204" s="15">
        <f t="shared" si="3"/>
        <v>2552.8</v>
      </c>
      <c r="O204" t="s">
        <v>54</v>
      </c>
      <c r="P204" t="s">
        <v>71</v>
      </c>
      <c r="Q204" t="s">
        <v>76</v>
      </c>
      <c r="R204" t="s">
        <v>42</v>
      </c>
      <c r="S204">
        <v>4</v>
      </c>
      <c r="T204" t="s">
        <v>131</v>
      </c>
    </row>
    <row r="205" spans="1:20">
      <c r="A205">
        <v>204</v>
      </c>
      <c r="B205" s="14">
        <v>45702</v>
      </c>
      <c r="C205" t="s">
        <v>60</v>
      </c>
      <c r="D205" t="s">
        <v>133</v>
      </c>
      <c r="E205" t="s">
        <v>89</v>
      </c>
      <c r="F205" t="s">
        <v>44</v>
      </c>
      <c r="G205" t="s">
        <v>24</v>
      </c>
      <c r="H205" t="s">
        <v>58</v>
      </c>
      <c r="I205" t="s">
        <v>26</v>
      </c>
      <c r="J205" t="s">
        <v>27</v>
      </c>
      <c r="K205">
        <v>25</v>
      </c>
      <c r="L205">
        <v>79.28</v>
      </c>
      <c r="M205">
        <v>10</v>
      </c>
      <c r="N205" s="15">
        <f t="shared" si="3"/>
        <v>1982</v>
      </c>
      <c r="O205" t="s">
        <v>28</v>
      </c>
      <c r="P205" t="s">
        <v>71</v>
      </c>
      <c r="Q205" t="s">
        <v>30</v>
      </c>
      <c r="R205" t="s">
        <v>42</v>
      </c>
      <c r="S205">
        <v>5</v>
      </c>
      <c r="T205" t="s">
        <v>127</v>
      </c>
    </row>
    <row r="206" spans="1:20">
      <c r="A206">
        <v>205</v>
      </c>
      <c r="B206" s="14">
        <v>45856</v>
      </c>
      <c r="C206" t="s">
        <v>60</v>
      </c>
      <c r="D206" t="s">
        <v>61</v>
      </c>
      <c r="E206" t="s">
        <v>35</v>
      </c>
      <c r="F206" t="s">
        <v>23</v>
      </c>
      <c r="G206" t="s">
        <v>68</v>
      </c>
      <c r="H206" t="s">
        <v>25</v>
      </c>
      <c r="I206" t="s">
        <v>74</v>
      </c>
      <c r="J206" t="s">
        <v>48</v>
      </c>
      <c r="K206">
        <v>4</v>
      </c>
      <c r="L206">
        <v>81.82</v>
      </c>
      <c r="M206">
        <v>15</v>
      </c>
      <c r="N206" s="15">
        <f t="shared" si="3"/>
        <v>327.28</v>
      </c>
      <c r="O206" t="s">
        <v>54</v>
      </c>
      <c r="P206" t="s">
        <v>64</v>
      </c>
      <c r="Q206" t="s">
        <v>76</v>
      </c>
      <c r="R206" t="s">
        <v>31</v>
      </c>
      <c r="S206">
        <v>2</v>
      </c>
      <c r="T206" t="s">
        <v>125</v>
      </c>
    </row>
    <row r="207" spans="1:20">
      <c r="A207">
        <v>206</v>
      </c>
      <c r="B207" s="14">
        <v>45794</v>
      </c>
      <c r="C207" t="s">
        <v>33</v>
      </c>
      <c r="D207" t="s">
        <v>61</v>
      </c>
      <c r="E207" t="s">
        <v>22</v>
      </c>
      <c r="F207" t="s">
        <v>44</v>
      </c>
      <c r="G207" t="s">
        <v>24</v>
      </c>
      <c r="H207" t="s">
        <v>58</v>
      </c>
      <c r="I207" t="s">
        <v>38</v>
      </c>
      <c r="J207" t="s">
        <v>48</v>
      </c>
      <c r="K207">
        <v>12</v>
      </c>
      <c r="L207">
        <v>21.73</v>
      </c>
      <c r="M207">
        <v>0</v>
      </c>
      <c r="N207" s="15">
        <f t="shared" si="3"/>
        <v>260.76</v>
      </c>
      <c r="O207" t="s">
        <v>54</v>
      </c>
      <c r="P207" t="s">
        <v>132</v>
      </c>
      <c r="Q207" t="s">
        <v>30</v>
      </c>
      <c r="R207" t="s">
        <v>42</v>
      </c>
      <c r="S207">
        <v>3</v>
      </c>
      <c r="T207" t="s">
        <v>127</v>
      </c>
    </row>
    <row r="208" spans="1:20">
      <c r="A208">
        <v>207</v>
      </c>
      <c r="B208" s="14">
        <v>45948</v>
      </c>
      <c r="C208" t="s">
        <v>33</v>
      </c>
      <c r="D208" t="s">
        <v>61</v>
      </c>
      <c r="E208" t="s">
        <v>100</v>
      </c>
      <c r="F208" t="s">
        <v>91</v>
      </c>
      <c r="G208" t="s">
        <v>81</v>
      </c>
      <c r="H208" t="s">
        <v>58</v>
      </c>
      <c r="I208" t="s">
        <v>53</v>
      </c>
      <c r="J208" t="s">
        <v>39</v>
      </c>
      <c r="K208">
        <v>32</v>
      </c>
      <c r="L208">
        <v>8.61</v>
      </c>
      <c r="M208">
        <v>0</v>
      </c>
      <c r="N208" s="15">
        <f t="shared" si="3"/>
        <v>275.52</v>
      </c>
      <c r="O208" t="s">
        <v>40</v>
      </c>
      <c r="P208" t="s">
        <v>64</v>
      </c>
      <c r="Q208" t="s">
        <v>30</v>
      </c>
      <c r="R208" t="s">
        <v>42</v>
      </c>
      <c r="S208">
        <v>4</v>
      </c>
      <c r="T208" t="s">
        <v>131</v>
      </c>
    </row>
    <row r="209" spans="1:20">
      <c r="A209">
        <v>208</v>
      </c>
      <c r="B209" s="14">
        <v>45827</v>
      </c>
      <c r="C209" t="s">
        <v>33</v>
      </c>
      <c r="D209" t="s">
        <v>61</v>
      </c>
      <c r="E209" t="s">
        <v>89</v>
      </c>
      <c r="F209" t="s">
        <v>23</v>
      </c>
      <c r="G209" t="s">
        <v>128</v>
      </c>
      <c r="H209" t="s">
        <v>25</v>
      </c>
      <c r="I209" t="s">
        <v>53</v>
      </c>
      <c r="J209" t="s">
        <v>27</v>
      </c>
      <c r="K209">
        <v>2</v>
      </c>
      <c r="L209">
        <v>19.03</v>
      </c>
      <c r="M209">
        <v>5</v>
      </c>
      <c r="N209" s="15">
        <f t="shared" si="3"/>
        <v>38.06</v>
      </c>
      <c r="O209" t="s">
        <v>28</v>
      </c>
      <c r="P209" t="s">
        <v>132</v>
      </c>
      <c r="Q209" t="s">
        <v>30</v>
      </c>
      <c r="R209" t="s">
        <v>42</v>
      </c>
      <c r="S209">
        <v>3</v>
      </c>
      <c r="T209" t="s">
        <v>131</v>
      </c>
    </row>
    <row r="210" spans="1:20">
      <c r="A210">
        <v>209</v>
      </c>
      <c r="B210" s="14">
        <v>45958</v>
      </c>
      <c r="C210" t="s">
        <v>20</v>
      </c>
      <c r="D210" t="s">
        <v>129</v>
      </c>
      <c r="E210" t="s">
        <v>114</v>
      </c>
      <c r="F210" t="s">
        <v>23</v>
      </c>
      <c r="G210" t="s">
        <v>24</v>
      </c>
      <c r="H210" t="s">
        <v>25</v>
      </c>
      <c r="I210" t="s">
        <v>38</v>
      </c>
      <c r="J210" t="s">
        <v>63</v>
      </c>
      <c r="K210">
        <v>42</v>
      </c>
      <c r="L210">
        <v>35.14</v>
      </c>
      <c r="M210">
        <v>0</v>
      </c>
      <c r="N210" s="15">
        <f t="shared" si="3"/>
        <v>1475.88</v>
      </c>
      <c r="O210" t="s">
        <v>54</v>
      </c>
      <c r="P210" t="s">
        <v>64</v>
      </c>
      <c r="Q210" t="s">
        <v>76</v>
      </c>
      <c r="R210" t="s">
        <v>42</v>
      </c>
      <c r="S210">
        <v>3</v>
      </c>
      <c r="T210" t="s">
        <v>127</v>
      </c>
    </row>
    <row r="211" spans="1:20">
      <c r="A211">
        <v>210</v>
      </c>
      <c r="B211" s="14">
        <v>45723</v>
      </c>
      <c r="C211" t="s">
        <v>50</v>
      </c>
      <c r="D211" t="s">
        <v>124</v>
      </c>
      <c r="E211" t="s">
        <v>78</v>
      </c>
      <c r="F211" t="s">
        <v>130</v>
      </c>
      <c r="G211" t="s">
        <v>68</v>
      </c>
      <c r="H211" t="s">
        <v>73</v>
      </c>
      <c r="I211" t="s">
        <v>47</v>
      </c>
      <c r="J211" t="s">
        <v>27</v>
      </c>
      <c r="K211">
        <v>12</v>
      </c>
      <c r="L211">
        <v>62.23</v>
      </c>
      <c r="M211">
        <v>0</v>
      </c>
      <c r="N211" s="15">
        <f t="shared" si="3"/>
        <v>746.76</v>
      </c>
      <c r="O211" t="s">
        <v>40</v>
      </c>
      <c r="P211" t="s">
        <v>71</v>
      </c>
      <c r="Q211" t="s">
        <v>76</v>
      </c>
      <c r="R211" t="s">
        <v>31</v>
      </c>
      <c r="S211">
        <v>3</v>
      </c>
      <c r="T211" t="s">
        <v>131</v>
      </c>
    </row>
    <row r="212" spans="1:20">
      <c r="A212">
        <v>211</v>
      </c>
      <c r="B212" s="14">
        <v>45779</v>
      </c>
      <c r="C212" t="s">
        <v>60</v>
      </c>
      <c r="D212" t="s">
        <v>129</v>
      </c>
      <c r="E212" t="s">
        <v>120</v>
      </c>
      <c r="F212" t="s">
        <v>130</v>
      </c>
      <c r="G212" t="s">
        <v>88</v>
      </c>
      <c r="H212" t="s">
        <v>46</v>
      </c>
      <c r="I212" t="s">
        <v>38</v>
      </c>
      <c r="J212" t="s">
        <v>27</v>
      </c>
      <c r="K212">
        <v>17</v>
      </c>
      <c r="L212">
        <v>24.92</v>
      </c>
      <c r="M212">
        <v>0</v>
      </c>
      <c r="N212" s="15">
        <f t="shared" si="3"/>
        <v>423.64</v>
      </c>
      <c r="O212" t="s">
        <v>54</v>
      </c>
      <c r="P212" t="s">
        <v>132</v>
      </c>
      <c r="Q212" t="s">
        <v>30</v>
      </c>
      <c r="R212" t="s">
        <v>42</v>
      </c>
      <c r="S212">
        <v>1</v>
      </c>
      <c r="T212" t="s">
        <v>131</v>
      </c>
    </row>
    <row r="213" spans="1:20">
      <c r="A213">
        <v>212</v>
      </c>
      <c r="B213" s="14">
        <v>45855</v>
      </c>
      <c r="C213" t="s">
        <v>85</v>
      </c>
      <c r="D213" t="s">
        <v>124</v>
      </c>
      <c r="E213" t="s">
        <v>97</v>
      </c>
      <c r="F213" t="s">
        <v>91</v>
      </c>
      <c r="G213" t="s">
        <v>81</v>
      </c>
      <c r="H213" t="s">
        <v>73</v>
      </c>
      <c r="I213" t="s">
        <v>38</v>
      </c>
      <c r="J213" t="s">
        <v>48</v>
      </c>
      <c r="K213">
        <v>35</v>
      </c>
      <c r="L213">
        <v>40.66</v>
      </c>
      <c r="M213">
        <v>15</v>
      </c>
      <c r="N213" s="15">
        <f t="shared" si="3"/>
        <v>1423.1</v>
      </c>
      <c r="O213" t="s">
        <v>40</v>
      </c>
      <c r="P213" t="s">
        <v>64</v>
      </c>
      <c r="Q213" t="s">
        <v>76</v>
      </c>
      <c r="R213" t="s">
        <v>31</v>
      </c>
      <c r="S213">
        <v>1</v>
      </c>
      <c r="T213" t="s">
        <v>127</v>
      </c>
    </row>
    <row r="214" spans="1:20">
      <c r="A214">
        <v>213</v>
      </c>
      <c r="B214" s="14">
        <v>45668</v>
      </c>
      <c r="C214" t="s">
        <v>60</v>
      </c>
      <c r="D214" t="s">
        <v>129</v>
      </c>
      <c r="E214" t="s">
        <v>106</v>
      </c>
      <c r="F214" t="s">
        <v>44</v>
      </c>
      <c r="G214" t="s">
        <v>45</v>
      </c>
      <c r="H214" t="s">
        <v>25</v>
      </c>
      <c r="I214" t="s">
        <v>38</v>
      </c>
      <c r="J214" t="s">
        <v>39</v>
      </c>
      <c r="K214">
        <v>47</v>
      </c>
      <c r="L214">
        <v>12.13</v>
      </c>
      <c r="M214">
        <v>0</v>
      </c>
      <c r="N214" s="15">
        <f t="shared" si="3"/>
        <v>570.11</v>
      </c>
      <c r="O214" t="s">
        <v>54</v>
      </c>
      <c r="P214" t="s">
        <v>71</v>
      </c>
      <c r="Q214" t="s">
        <v>30</v>
      </c>
      <c r="R214" t="s">
        <v>42</v>
      </c>
      <c r="S214">
        <v>3</v>
      </c>
      <c r="T214" t="s">
        <v>125</v>
      </c>
    </row>
    <row r="215" spans="1:20">
      <c r="A215">
        <v>214</v>
      </c>
      <c r="B215" s="14">
        <v>45968</v>
      </c>
      <c r="C215" t="s">
        <v>85</v>
      </c>
      <c r="D215" t="s">
        <v>61</v>
      </c>
      <c r="E215" t="s">
        <v>117</v>
      </c>
      <c r="F215" t="s">
        <v>44</v>
      </c>
      <c r="G215" t="s">
        <v>45</v>
      </c>
      <c r="H215" t="s">
        <v>25</v>
      </c>
      <c r="I215" t="s">
        <v>26</v>
      </c>
      <c r="J215" t="s">
        <v>63</v>
      </c>
      <c r="K215">
        <v>45</v>
      </c>
      <c r="L215">
        <v>57.64</v>
      </c>
      <c r="M215">
        <v>0</v>
      </c>
      <c r="N215" s="15">
        <f t="shared" si="3"/>
        <v>2593.8</v>
      </c>
      <c r="O215" t="s">
        <v>54</v>
      </c>
      <c r="P215" t="s">
        <v>132</v>
      </c>
      <c r="Q215" t="s">
        <v>30</v>
      </c>
      <c r="R215" t="s">
        <v>31</v>
      </c>
      <c r="S215">
        <v>1</v>
      </c>
      <c r="T215" t="s">
        <v>131</v>
      </c>
    </row>
    <row r="216" spans="1:20">
      <c r="A216">
        <v>215</v>
      </c>
      <c r="B216" s="14">
        <v>45859</v>
      </c>
      <c r="C216" t="s">
        <v>33</v>
      </c>
      <c r="D216" t="s">
        <v>126</v>
      </c>
      <c r="E216" t="s">
        <v>105</v>
      </c>
      <c r="F216" t="s">
        <v>91</v>
      </c>
      <c r="G216" t="s">
        <v>88</v>
      </c>
      <c r="H216" t="s">
        <v>46</v>
      </c>
      <c r="I216" t="s">
        <v>74</v>
      </c>
      <c r="J216" t="s">
        <v>63</v>
      </c>
      <c r="K216">
        <v>6</v>
      </c>
      <c r="L216">
        <v>32.98</v>
      </c>
      <c r="M216">
        <v>0</v>
      </c>
      <c r="N216" s="15">
        <f t="shared" si="3"/>
        <v>197.88</v>
      </c>
      <c r="O216" t="s">
        <v>28</v>
      </c>
      <c r="P216" t="s">
        <v>64</v>
      </c>
      <c r="Q216" t="s">
        <v>30</v>
      </c>
      <c r="R216" t="s">
        <v>31</v>
      </c>
      <c r="S216">
        <v>2</v>
      </c>
      <c r="T216" t="s">
        <v>125</v>
      </c>
    </row>
    <row r="217" spans="1:20">
      <c r="A217">
        <v>216</v>
      </c>
      <c r="B217" s="14">
        <v>45984</v>
      </c>
      <c r="C217" t="s">
        <v>60</v>
      </c>
      <c r="D217" t="s">
        <v>124</v>
      </c>
      <c r="E217" t="s">
        <v>115</v>
      </c>
      <c r="F217" t="s">
        <v>44</v>
      </c>
      <c r="G217" t="s">
        <v>45</v>
      </c>
      <c r="H217" t="s">
        <v>73</v>
      </c>
      <c r="I217" t="s">
        <v>38</v>
      </c>
      <c r="J217" t="s">
        <v>63</v>
      </c>
      <c r="K217">
        <v>43</v>
      </c>
      <c r="L217">
        <v>30.18</v>
      </c>
      <c r="M217">
        <v>0</v>
      </c>
      <c r="N217" s="15">
        <f t="shared" si="3"/>
        <v>1297.74</v>
      </c>
      <c r="O217" t="s">
        <v>28</v>
      </c>
      <c r="P217" t="s">
        <v>64</v>
      </c>
      <c r="Q217" t="s">
        <v>30</v>
      </c>
      <c r="R217" t="s">
        <v>42</v>
      </c>
      <c r="S217">
        <v>3</v>
      </c>
      <c r="T217" t="s">
        <v>125</v>
      </c>
    </row>
    <row r="218" spans="1:20">
      <c r="A218">
        <v>217</v>
      </c>
      <c r="B218" s="14">
        <v>45886</v>
      </c>
      <c r="C218" t="s">
        <v>20</v>
      </c>
      <c r="D218" t="s">
        <v>129</v>
      </c>
      <c r="E218" t="s">
        <v>80</v>
      </c>
      <c r="F218" t="s">
        <v>44</v>
      </c>
      <c r="G218" t="s">
        <v>45</v>
      </c>
      <c r="H218" t="s">
        <v>25</v>
      </c>
      <c r="I218" t="s">
        <v>53</v>
      </c>
      <c r="J218" t="s">
        <v>27</v>
      </c>
      <c r="K218">
        <v>10</v>
      </c>
      <c r="L218">
        <v>76.46</v>
      </c>
      <c r="M218">
        <v>0</v>
      </c>
      <c r="N218" s="15">
        <f t="shared" si="3"/>
        <v>764.6</v>
      </c>
      <c r="O218" t="s">
        <v>28</v>
      </c>
      <c r="P218" t="s">
        <v>132</v>
      </c>
      <c r="Q218" t="s">
        <v>76</v>
      </c>
      <c r="R218" t="s">
        <v>42</v>
      </c>
      <c r="S218">
        <v>2</v>
      </c>
      <c r="T218" t="s">
        <v>131</v>
      </c>
    </row>
    <row r="219" spans="1:20">
      <c r="A219">
        <v>218</v>
      </c>
      <c r="B219" s="14">
        <v>45856</v>
      </c>
      <c r="C219" t="s">
        <v>50</v>
      </c>
      <c r="D219" t="s">
        <v>126</v>
      </c>
      <c r="E219" t="s">
        <v>97</v>
      </c>
      <c r="F219" t="s">
        <v>91</v>
      </c>
      <c r="G219" t="s">
        <v>128</v>
      </c>
      <c r="H219" t="s">
        <v>73</v>
      </c>
      <c r="I219" t="s">
        <v>47</v>
      </c>
      <c r="J219" t="s">
        <v>39</v>
      </c>
      <c r="K219">
        <v>31</v>
      </c>
      <c r="L219">
        <v>33.39</v>
      </c>
      <c r="M219">
        <v>15</v>
      </c>
      <c r="N219" s="15">
        <f t="shared" si="3"/>
        <v>1035.09</v>
      </c>
      <c r="O219" t="s">
        <v>28</v>
      </c>
      <c r="P219" t="s">
        <v>64</v>
      </c>
      <c r="Q219" t="s">
        <v>30</v>
      </c>
      <c r="R219" t="s">
        <v>42</v>
      </c>
      <c r="S219">
        <v>2</v>
      </c>
      <c r="T219" t="s">
        <v>125</v>
      </c>
    </row>
    <row r="220" spans="1:20">
      <c r="A220">
        <v>219</v>
      </c>
      <c r="B220" s="14">
        <v>45766</v>
      </c>
      <c r="C220" t="s">
        <v>50</v>
      </c>
      <c r="D220" t="s">
        <v>61</v>
      </c>
      <c r="E220" t="s">
        <v>89</v>
      </c>
      <c r="F220" t="s">
        <v>44</v>
      </c>
      <c r="G220" t="s">
        <v>81</v>
      </c>
      <c r="H220" t="s">
        <v>58</v>
      </c>
      <c r="I220" t="s">
        <v>38</v>
      </c>
      <c r="J220" t="s">
        <v>39</v>
      </c>
      <c r="K220">
        <v>41</v>
      </c>
      <c r="L220">
        <v>19.05</v>
      </c>
      <c r="M220">
        <v>0</v>
      </c>
      <c r="N220" s="15">
        <f t="shared" si="3"/>
        <v>781.05</v>
      </c>
      <c r="O220" t="s">
        <v>54</v>
      </c>
      <c r="P220" t="s">
        <v>132</v>
      </c>
      <c r="Q220" t="s">
        <v>30</v>
      </c>
      <c r="R220" t="s">
        <v>31</v>
      </c>
      <c r="S220">
        <v>4</v>
      </c>
      <c r="T220" t="s">
        <v>131</v>
      </c>
    </row>
    <row r="221" spans="1:20">
      <c r="A221">
        <v>220</v>
      </c>
      <c r="B221" s="14">
        <v>45940</v>
      </c>
      <c r="C221" t="s">
        <v>60</v>
      </c>
      <c r="D221" t="s">
        <v>61</v>
      </c>
      <c r="E221" t="s">
        <v>86</v>
      </c>
      <c r="F221" t="s">
        <v>91</v>
      </c>
      <c r="G221" t="s">
        <v>81</v>
      </c>
      <c r="H221" t="s">
        <v>58</v>
      </c>
      <c r="I221" t="s">
        <v>47</v>
      </c>
      <c r="J221" t="s">
        <v>63</v>
      </c>
      <c r="K221">
        <v>8</v>
      </c>
      <c r="L221">
        <v>44.37</v>
      </c>
      <c r="M221">
        <v>5</v>
      </c>
      <c r="N221" s="15">
        <f t="shared" si="3"/>
        <v>354.96</v>
      </c>
      <c r="O221" t="s">
        <v>28</v>
      </c>
      <c r="P221" t="s">
        <v>71</v>
      </c>
      <c r="Q221" t="s">
        <v>30</v>
      </c>
      <c r="R221" t="s">
        <v>42</v>
      </c>
      <c r="S221">
        <v>5</v>
      </c>
      <c r="T221" t="s">
        <v>127</v>
      </c>
    </row>
    <row r="222" spans="1:20">
      <c r="A222">
        <v>221</v>
      </c>
      <c r="B222" s="14">
        <v>45868</v>
      </c>
      <c r="C222" t="s">
        <v>60</v>
      </c>
      <c r="D222" t="s">
        <v>133</v>
      </c>
      <c r="E222" t="s">
        <v>109</v>
      </c>
      <c r="F222" t="s">
        <v>44</v>
      </c>
      <c r="G222" t="s">
        <v>68</v>
      </c>
      <c r="H222" t="s">
        <v>58</v>
      </c>
      <c r="I222" t="s">
        <v>38</v>
      </c>
      <c r="J222" t="s">
        <v>27</v>
      </c>
      <c r="K222">
        <v>12</v>
      </c>
      <c r="L222">
        <v>31.16</v>
      </c>
      <c r="M222">
        <v>5</v>
      </c>
      <c r="N222" s="15">
        <f t="shared" si="3"/>
        <v>373.92</v>
      </c>
      <c r="O222" t="s">
        <v>28</v>
      </c>
      <c r="P222" t="s">
        <v>71</v>
      </c>
      <c r="Q222" t="s">
        <v>76</v>
      </c>
      <c r="R222" t="s">
        <v>42</v>
      </c>
      <c r="S222">
        <v>5</v>
      </c>
      <c r="T222" t="s">
        <v>125</v>
      </c>
    </row>
    <row r="223" spans="1:20">
      <c r="A223">
        <v>222</v>
      </c>
      <c r="B223" s="14">
        <v>45683</v>
      </c>
      <c r="C223" t="s">
        <v>20</v>
      </c>
      <c r="D223" t="s">
        <v>133</v>
      </c>
      <c r="E223" t="s">
        <v>86</v>
      </c>
      <c r="F223" t="s">
        <v>23</v>
      </c>
      <c r="G223" t="s">
        <v>88</v>
      </c>
      <c r="H223" t="s">
        <v>46</v>
      </c>
      <c r="I223" t="s">
        <v>53</v>
      </c>
      <c r="J223" t="s">
        <v>48</v>
      </c>
      <c r="K223">
        <v>18</v>
      </c>
      <c r="L223">
        <v>85.07</v>
      </c>
      <c r="M223">
        <v>0</v>
      </c>
      <c r="N223" s="15">
        <f t="shared" si="3"/>
        <v>1531.26</v>
      </c>
      <c r="O223" t="s">
        <v>40</v>
      </c>
      <c r="P223" t="s">
        <v>64</v>
      </c>
      <c r="Q223" t="s">
        <v>30</v>
      </c>
      <c r="R223" t="s">
        <v>42</v>
      </c>
      <c r="S223">
        <v>4</v>
      </c>
      <c r="T223" t="s">
        <v>127</v>
      </c>
    </row>
    <row r="224" spans="1:20">
      <c r="A224">
        <v>223</v>
      </c>
      <c r="B224" s="14">
        <v>45795</v>
      </c>
      <c r="C224" t="s">
        <v>20</v>
      </c>
      <c r="D224" t="s">
        <v>133</v>
      </c>
      <c r="E224" t="s">
        <v>95</v>
      </c>
      <c r="F224" t="s">
        <v>130</v>
      </c>
      <c r="G224" t="s">
        <v>88</v>
      </c>
      <c r="H224" t="s">
        <v>25</v>
      </c>
      <c r="I224" t="s">
        <v>38</v>
      </c>
      <c r="J224" t="s">
        <v>39</v>
      </c>
      <c r="K224">
        <v>27</v>
      </c>
      <c r="L224">
        <v>75.39</v>
      </c>
      <c r="M224">
        <v>0</v>
      </c>
      <c r="N224" s="15">
        <f t="shared" si="3"/>
        <v>2035.53</v>
      </c>
      <c r="O224" t="s">
        <v>54</v>
      </c>
      <c r="P224" t="s">
        <v>71</v>
      </c>
      <c r="Q224" t="s">
        <v>76</v>
      </c>
      <c r="R224" t="s">
        <v>31</v>
      </c>
      <c r="S224">
        <v>3</v>
      </c>
      <c r="T224" t="s">
        <v>131</v>
      </c>
    </row>
    <row r="225" spans="1:20">
      <c r="A225">
        <v>224</v>
      </c>
      <c r="B225" s="14">
        <v>45727</v>
      </c>
      <c r="C225" t="s">
        <v>50</v>
      </c>
      <c r="D225" t="s">
        <v>61</v>
      </c>
      <c r="E225" t="s">
        <v>99</v>
      </c>
      <c r="F225" t="s">
        <v>91</v>
      </c>
      <c r="G225" t="s">
        <v>88</v>
      </c>
      <c r="H225" t="s">
        <v>25</v>
      </c>
      <c r="I225" t="s">
        <v>26</v>
      </c>
      <c r="J225" t="s">
        <v>39</v>
      </c>
      <c r="K225">
        <v>4</v>
      </c>
      <c r="L225">
        <v>28.7</v>
      </c>
      <c r="M225">
        <v>15</v>
      </c>
      <c r="N225" s="15">
        <f t="shared" si="3"/>
        <v>114.8</v>
      </c>
      <c r="O225" t="s">
        <v>28</v>
      </c>
      <c r="P225" t="s">
        <v>132</v>
      </c>
      <c r="Q225" t="s">
        <v>76</v>
      </c>
      <c r="R225" t="s">
        <v>42</v>
      </c>
      <c r="S225">
        <v>3</v>
      </c>
      <c r="T225" t="s">
        <v>131</v>
      </c>
    </row>
    <row r="226" spans="1:20">
      <c r="A226">
        <v>225</v>
      </c>
      <c r="B226" s="14">
        <v>45916</v>
      </c>
      <c r="C226" t="s">
        <v>85</v>
      </c>
      <c r="D226" t="s">
        <v>124</v>
      </c>
      <c r="E226" t="s">
        <v>119</v>
      </c>
      <c r="F226" t="s">
        <v>130</v>
      </c>
      <c r="G226" t="s">
        <v>88</v>
      </c>
      <c r="H226" t="s">
        <v>25</v>
      </c>
      <c r="I226" t="s">
        <v>53</v>
      </c>
      <c r="J226" t="s">
        <v>63</v>
      </c>
      <c r="K226">
        <v>39</v>
      </c>
      <c r="L226">
        <v>47.38</v>
      </c>
      <c r="M226">
        <v>15</v>
      </c>
      <c r="N226" s="15">
        <f t="shared" si="3"/>
        <v>1847.82</v>
      </c>
      <c r="O226" t="s">
        <v>54</v>
      </c>
      <c r="P226" t="s">
        <v>132</v>
      </c>
      <c r="Q226" t="s">
        <v>76</v>
      </c>
      <c r="R226" t="s">
        <v>42</v>
      </c>
      <c r="S226">
        <v>3</v>
      </c>
      <c r="T226" t="s">
        <v>131</v>
      </c>
    </row>
    <row r="227" spans="1:20">
      <c r="A227">
        <v>226</v>
      </c>
      <c r="B227" s="14">
        <v>45803</v>
      </c>
      <c r="C227" t="s">
        <v>20</v>
      </c>
      <c r="D227" t="s">
        <v>133</v>
      </c>
      <c r="E227" t="s">
        <v>117</v>
      </c>
      <c r="F227" t="s">
        <v>91</v>
      </c>
      <c r="G227" t="s">
        <v>68</v>
      </c>
      <c r="H227" t="s">
        <v>25</v>
      </c>
      <c r="I227" t="s">
        <v>26</v>
      </c>
      <c r="J227" t="s">
        <v>39</v>
      </c>
      <c r="K227">
        <v>44</v>
      </c>
      <c r="L227">
        <v>24.64</v>
      </c>
      <c r="M227">
        <v>15</v>
      </c>
      <c r="N227" s="15">
        <f t="shared" si="3"/>
        <v>1084.16</v>
      </c>
      <c r="O227" t="s">
        <v>28</v>
      </c>
      <c r="P227" t="s">
        <v>71</v>
      </c>
      <c r="Q227" t="s">
        <v>76</v>
      </c>
      <c r="R227" t="s">
        <v>31</v>
      </c>
      <c r="S227">
        <v>3</v>
      </c>
      <c r="T227" t="s">
        <v>125</v>
      </c>
    </row>
    <row r="228" spans="1:20">
      <c r="A228">
        <v>227</v>
      </c>
      <c r="B228" s="14">
        <v>45965</v>
      </c>
      <c r="C228" t="s">
        <v>50</v>
      </c>
      <c r="D228" t="s">
        <v>124</v>
      </c>
      <c r="E228" t="s">
        <v>107</v>
      </c>
      <c r="F228" t="s">
        <v>23</v>
      </c>
      <c r="G228" t="s">
        <v>68</v>
      </c>
      <c r="H228" t="s">
        <v>46</v>
      </c>
      <c r="I228" t="s">
        <v>53</v>
      </c>
      <c r="J228" t="s">
        <v>63</v>
      </c>
      <c r="K228">
        <v>25</v>
      </c>
      <c r="L228">
        <v>85.9</v>
      </c>
      <c r="M228">
        <v>15</v>
      </c>
      <c r="N228" s="15">
        <f t="shared" si="3"/>
        <v>2147.5</v>
      </c>
      <c r="O228" t="s">
        <v>54</v>
      </c>
      <c r="P228" t="s">
        <v>64</v>
      </c>
      <c r="Q228" t="s">
        <v>76</v>
      </c>
      <c r="R228" t="s">
        <v>42</v>
      </c>
      <c r="S228">
        <v>3</v>
      </c>
      <c r="T228" t="s">
        <v>131</v>
      </c>
    </row>
    <row r="229" spans="1:20">
      <c r="A229">
        <v>228</v>
      </c>
      <c r="B229" s="14">
        <v>45957</v>
      </c>
      <c r="C229" t="s">
        <v>20</v>
      </c>
      <c r="D229" t="s">
        <v>124</v>
      </c>
      <c r="E229" t="s">
        <v>111</v>
      </c>
      <c r="F229" t="s">
        <v>130</v>
      </c>
      <c r="G229" t="s">
        <v>45</v>
      </c>
      <c r="H229" t="s">
        <v>58</v>
      </c>
      <c r="I229" t="s">
        <v>47</v>
      </c>
      <c r="J229" t="s">
        <v>48</v>
      </c>
      <c r="K229">
        <v>20</v>
      </c>
      <c r="L229">
        <v>70.02</v>
      </c>
      <c r="M229">
        <v>15</v>
      </c>
      <c r="N229" s="15">
        <f t="shared" si="3"/>
        <v>1400.4</v>
      </c>
      <c r="O229" t="s">
        <v>28</v>
      </c>
      <c r="P229" t="s">
        <v>132</v>
      </c>
      <c r="Q229" t="s">
        <v>30</v>
      </c>
      <c r="R229" t="s">
        <v>42</v>
      </c>
      <c r="S229">
        <v>3</v>
      </c>
      <c r="T229" t="s">
        <v>127</v>
      </c>
    </row>
    <row r="230" spans="1:20">
      <c r="A230">
        <v>229</v>
      </c>
      <c r="B230" s="14">
        <v>45791</v>
      </c>
      <c r="C230" t="s">
        <v>20</v>
      </c>
      <c r="D230" t="s">
        <v>124</v>
      </c>
      <c r="E230" t="s">
        <v>109</v>
      </c>
      <c r="F230" t="s">
        <v>23</v>
      </c>
      <c r="G230" t="s">
        <v>24</v>
      </c>
      <c r="H230" t="s">
        <v>25</v>
      </c>
      <c r="I230" t="s">
        <v>47</v>
      </c>
      <c r="J230" t="s">
        <v>39</v>
      </c>
      <c r="K230">
        <v>4</v>
      </c>
      <c r="L230">
        <v>81.52</v>
      </c>
      <c r="M230">
        <v>0</v>
      </c>
      <c r="N230" s="15">
        <f t="shared" si="3"/>
        <v>326.08</v>
      </c>
      <c r="O230" t="s">
        <v>28</v>
      </c>
      <c r="P230" t="s">
        <v>132</v>
      </c>
      <c r="Q230" t="s">
        <v>76</v>
      </c>
      <c r="R230" t="s">
        <v>42</v>
      </c>
      <c r="S230">
        <v>1</v>
      </c>
      <c r="T230" t="s">
        <v>131</v>
      </c>
    </row>
    <row r="231" spans="1:20">
      <c r="A231">
        <v>230</v>
      </c>
      <c r="B231" s="14">
        <v>45809</v>
      </c>
      <c r="C231" t="s">
        <v>60</v>
      </c>
      <c r="D231" t="s">
        <v>133</v>
      </c>
      <c r="E231" t="s">
        <v>87</v>
      </c>
      <c r="F231" t="s">
        <v>44</v>
      </c>
      <c r="G231" t="s">
        <v>128</v>
      </c>
      <c r="H231" t="s">
        <v>58</v>
      </c>
      <c r="I231" t="s">
        <v>47</v>
      </c>
      <c r="J231" t="s">
        <v>39</v>
      </c>
      <c r="K231">
        <v>22</v>
      </c>
      <c r="L231">
        <v>74.02</v>
      </c>
      <c r="M231">
        <v>5</v>
      </c>
      <c r="N231" s="15">
        <f t="shared" si="3"/>
        <v>1628.44</v>
      </c>
      <c r="O231" t="s">
        <v>28</v>
      </c>
      <c r="P231" t="s">
        <v>132</v>
      </c>
      <c r="Q231" t="s">
        <v>30</v>
      </c>
      <c r="R231" t="s">
        <v>31</v>
      </c>
      <c r="S231">
        <v>5</v>
      </c>
      <c r="T231" t="s">
        <v>125</v>
      </c>
    </row>
    <row r="232" spans="1:20">
      <c r="A232">
        <v>231</v>
      </c>
      <c r="B232" s="14">
        <v>45808</v>
      </c>
      <c r="C232" t="s">
        <v>20</v>
      </c>
      <c r="D232" t="s">
        <v>133</v>
      </c>
      <c r="E232" t="s">
        <v>89</v>
      </c>
      <c r="F232" t="s">
        <v>130</v>
      </c>
      <c r="G232" t="s">
        <v>45</v>
      </c>
      <c r="H232" t="s">
        <v>58</v>
      </c>
      <c r="I232" t="s">
        <v>26</v>
      </c>
      <c r="J232" t="s">
        <v>48</v>
      </c>
      <c r="K232">
        <v>42</v>
      </c>
      <c r="L232">
        <v>13.48</v>
      </c>
      <c r="M232">
        <v>10</v>
      </c>
      <c r="N232" s="15">
        <f t="shared" si="3"/>
        <v>566.16</v>
      </c>
      <c r="O232" t="s">
        <v>40</v>
      </c>
      <c r="P232" t="s">
        <v>132</v>
      </c>
      <c r="Q232" t="s">
        <v>76</v>
      </c>
      <c r="R232" t="s">
        <v>42</v>
      </c>
      <c r="S232">
        <v>3</v>
      </c>
      <c r="T232" t="s">
        <v>127</v>
      </c>
    </row>
    <row r="233" spans="1:20">
      <c r="A233">
        <v>232</v>
      </c>
      <c r="B233" s="14">
        <v>45957</v>
      </c>
      <c r="C233" t="s">
        <v>60</v>
      </c>
      <c r="D233" t="s">
        <v>133</v>
      </c>
      <c r="E233" t="s">
        <v>119</v>
      </c>
      <c r="F233" t="s">
        <v>44</v>
      </c>
      <c r="G233" t="s">
        <v>88</v>
      </c>
      <c r="H233" t="s">
        <v>58</v>
      </c>
      <c r="I233" t="s">
        <v>47</v>
      </c>
      <c r="J233" t="s">
        <v>27</v>
      </c>
      <c r="K233">
        <v>31</v>
      </c>
      <c r="L233">
        <v>89.5</v>
      </c>
      <c r="M233">
        <v>0</v>
      </c>
      <c r="N233" s="15">
        <f t="shared" si="3"/>
        <v>2774.5</v>
      </c>
      <c r="O233" t="s">
        <v>28</v>
      </c>
      <c r="P233" t="s">
        <v>71</v>
      </c>
      <c r="Q233" t="s">
        <v>30</v>
      </c>
      <c r="R233" t="s">
        <v>42</v>
      </c>
      <c r="S233">
        <v>1</v>
      </c>
      <c r="T233" t="s">
        <v>125</v>
      </c>
    </row>
    <row r="234" spans="1:20">
      <c r="A234">
        <v>233</v>
      </c>
      <c r="B234" s="14">
        <v>45728</v>
      </c>
      <c r="C234" t="s">
        <v>50</v>
      </c>
      <c r="D234" t="s">
        <v>129</v>
      </c>
      <c r="E234" t="s">
        <v>97</v>
      </c>
      <c r="F234" t="s">
        <v>91</v>
      </c>
      <c r="G234" t="s">
        <v>81</v>
      </c>
      <c r="H234" t="s">
        <v>25</v>
      </c>
      <c r="I234" t="s">
        <v>53</v>
      </c>
      <c r="J234" t="s">
        <v>39</v>
      </c>
      <c r="K234">
        <v>50</v>
      </c>
      <c r="L234">
        <v>12.68</v>
      </c>
      <c r="M234">
        <v>10</v>
      </c>
      <c r="N234" s="15">
        <f t="shared" si="3"/>
        <v>634</v>
      </c>
      <c r="O234" t="s">
        <v>40</v>
      </c>
      <c r="P234" t="s">
        <v>132</v>
      </c>
      <c r="Q234" t="s">
        <v>30</v>
      </c>
      <c r="R234" t="s">
        <v>31</v>
      </c>
      <c r="S234">
        <v>4</v>
      </c>
      <c r="T234" t="s">
        <v>127</v>
      </c>
    </row>
    <row r="235" spans="1:20">
      <c r="A235">
        <v>234</v>
      </c>
      <c r="B235" s="14">
        <v>45765</v>
      </c>
      <c r="C235" t="s">
        <v>50</v>
      </c>
      <c r="D235" t="s">
        <v>61</v>
      </c>
      <c r="E235" t="s">
        <v>120</v>
      </c>
      <c r="F235" t="s">
        <v>91</v>
      </c>
      <c r="G235" t="s">
        <v>24</v>
      </c>
      <c r="H235" t="s">
        <v>73</v>
      </c>
      <c r="I235" t="s">
        <v>74</v>
      </c>
      <c r="J235" t="s">
        <v>39</v>
      </c>
      <c r="K235">
        <v>40</v>
      </c>
      <c r="L235">
        <v>46.2</v>
      </c>
      <c r="M235">
        <v>15</v>
      </c>
      <c r="N235" s="15">
        <f t="shared" si="3"/>
        <v>1848</v>
      </c>
      <c r="O235" t="s">
        <v>28</v>
      </c>
      <c r="P235" t="s">
        <v>71</v>
      </c>
      <c r="Q235" t="s">
        <v>76</v>
      </c>
      <c r="R235" t="s">
        <v>42</v>
      </c>
      <c r="S235">
        <v>1</v>
      </c>
      <c r="T235" t="s">
        <v>131</v>
      </c>
    </row>
    <row r="236" spans="1:20">
      <c r="A236">
        <v>235</v>
      </c>
      <c r="B236" s="14">
        <v>45931</v>
      </c>
      <c r="C236" t="s">
        <v>50</v>
      </c>
      <c r="D236" t="s">
        <v>124</v>
      </c>
      <c r="E236" t="s">
        <v>116</v>
      </c>
      <c r="F236" t="s">
        <v>44</v>
      </c>
      <c r="G236" t="s">
        <v>45</v>
      </c>
      <c r="H236" t="s">
        <v>58</v>
      </c>
      <c r="I236" t="s">
        <v>26</v>
      </c>
      <c r="J236" t="s">
        <v>27</v>
      </c>
      <c r="K236">
        <v>44</v>
      </c>
      <c r="L236">
        <v>5.39</v>
      </c>
      <c r="M236">
        <v>5</v>
      </c>
      <c r="N236" s="15">
        <f t="shared" si="3"/>
        <v>237.16</v>
      </c>
      <c r="O236" t="s">
        <v>40</v>
      </c>
      <c r="P236" t="s">
        <v>132</v>
      </c>
      <c r="Q236" t="s">
        <v>30</v>
      </c>
      <c r="R236" t="s">
        <v>31</v>
      </c>
      <c r="S236">
        <v>1</v>
      </c>
      <c r="T236" t="s">
        <v>131</v>
      </c>
    </row>
    <row r="237" spans="1:20">
      <c r="A237">
        <v>236</v>
      </c>
      <c r="B237" s="14">
        <v>45915</v>
      </c>
      <c r="C237" t="s">
        <v>33</v>
      </c>
      <c r="D237" t="s">
        <v>129</v>
      </c>
      <c r="E237" t="s">
        <v>120</v>
      </c>
      <c r="F237" t="s">
        <v>44</v>
      </c>
      <c r="G237" t="s">
        <v>88</v>
      </c>
      <c r="H237" t="s">
        <v>46</v>
      </c>
      <c r="I237" t="s">
        <v>53</v>
      </c>
      <c r="J237" t="s">
        <v>63</v>
      </c>
      <c r="K237">
        <v>47</v>
      </c>
      <c r="L237">
        <v>54.43</v>
      </c>
      <c r="M237">
        <v>0</v>
      </c>
      <c r="N237" s="15">
        <f t="shared" si="3"/>
        <v>2558.21</v>
      </c>
      <c r="O237" t="s">
        <v>54</v>
      </c>
      <c r="P237" t="s">
        <v>71</v>
      </c>
      <c r="Q237" t="s">
        <v>76</v>
      </c>
      <c r="R237" t="s">
        <v>42</v>
      </c>
      <c r="S237">
        <v>4</v>
      </c>
      <c r="T237" t="s">
        <v>127</v>
      </c>
    </row>
    <row r="238" spans="1:20">
      <c r="A238">
        <v>237</v>
      </c>
      <c r="B238" s="14">
        <v>45754</v>
      </c>
      <c r="C238" t="s">
        <v>50</v>
      </c>
      <c r="D238" t="s">
        <v>61</v>
      </c>
      <c r="E238" t="s">
        <v>87</v>
      </c>
      <c r="F238" t="s">
        <v>44</v>
      </c>
      <c r="G238" t="s">
        <v>24</v>
      </c>
      <c r="H238" t="s">
        <v>25</v>
      </c>
      <c r="I238" t="s">
        <v>26</v>
      </c>
      <c r="J238" t="s">
        <v>39</v>
      </c>
      <c r="K238">
        <v>47</v>
      </c>
      <c r="L238">
        <v>7.08</v>
      </c>
      <c r="M238">
        <v>0</v>
      </c>
      <c r="N238" s="15">
        <f t="shared" si="3"/>
        <v>332.76</v>
      </c>
      <c r="O238" t="s">
        <v>40</v>
      </c>
      <c r="P238" t="s">
        <v>71</v>
      </c>
      <c r="Q238" t="s">
        <v>30</v>
      </c>
      <c r="R238" t="s">
        <v>42</v>
      </c>
      <c r="S238">
        <v>5</v>
      </c>
      <c r="T238" t="s">
        <v>131</v>
      </c>
    </row>
    <row r="239" spans="1:20">
      <c r="A239">
        <v>238</v>
      </c>
      <c r="B239" s="14">
        <v>45850</v>
      </c>
      <c r="C239" t="s">
        <v>20</v>
      </c>
      <c r="D239" t="s">
        <v>129</v>
      </c>
      <c r="E239" t="s">
        <v>62</v>
      </c>
      <c r="F239" t="s">
        <v>91</v>
      </c>
      <c r="G239" t="s">
        <v>68</v>
      </c>
      <c r="H239" t="s">
        <v>58</v>
      </c>
      <c r="I239" t="s">
        <v>47</v>
      </c>
      <c r="J239" t="s">
        <v>27</v>
      </c>
      <c r="K239">
        <v>43</v>
      </c>
      <c r="L239">
        <v>15.27</v>
      </c>
      <c r="M239">
        <v>0</v>
      </c>
      <c r="N239" s="15">
        <f t="shared" si="3"/>
        <v>656.61</v>
      </c>
      <c r="O239" t="s">
        <v>28</v>
      </c>
      <c r="P239" t="s">
        <v>71</v>
      </c>
      <c r="Q239" t="s">
        <v>76</v>
      </c>
      <c r="R239" t="s">
        <v>42</v>
      </c>
      <c r="S239">
        <v>4</v>
      </c>
      <c r="T239" t="s">
        <v>131</v>
      </c>
    </row>
    <row r="240" spans="1:20">
      <c r="A240">
        <v>239</v>
      </c>
      <c r="B240" s="14">
        <v>45938</v>
      </c>
      <c r="C240" t="s">
        <v>60</v>
      </c>
      <c r="D240" t="s">
        <v>133</v>
      </c>
      <c r="E240" t="s">
        <v>57</v>
      </c>
      <c r="F240" t="s">
        <v>91</v>
      </c>
      <c r="G240" t="s">
        <v>24</v>
      </c>
      <c r="H240" t="s">
        <v>58</v>
      </c>
      <c r="I240" t="s">
        <v>53</v>
      </c>
      <c r="J240" t="s">
        <v>63</v>
      </c>
      <c r="K240">
        <v>43</v>
      </c>
      <c r="L240">
        <v>14.59</v>
      </c>
      <c r="M240">
        <v>0</v>
      </c>
      <c r="N240" s="15">
        <f t="shared" si="3"/>
        <v>627.37</v>
      </c>
      <c r="O240" t="s">
        <v>54</v>
      </c>
      <c r="P240" t="s">
        <v>64</v>
      </c>
      <c r="Q240" t="s">
        <v>76</v>
      </c>
      <c r="R240" t="s">
        <v>31</v>
      </c>
      <c r="S240">
        <v>5</v>
      </c>
      <c r="T240" t="s">
        <v>131</v>
      </c>
    </row>
    <row r="241" spans="1:20">
      <c r="A241">
        <v>240</v>
      </c>
      <c r="B241" s="14">
        <v>45802</v>
      </c>
      <c r="C241" t="s">
        <v>20</v>
      </c>
      <c r="D241" t="s">
        <v>61</v>
      </c>
      <c r="E241" t="s">
        <v>106</v>
      </c>
      <c r="F241" t="s">
        <v>44</v>
      </c>
      <c r="G241" t="s">
        <v>24</v>
      </c>
      <c r="H241" t="s">
        <v>58</v>
      </c>
      <c r="I241" t="s">
        <v>26</v>
      </c>
      <c r="J241" t="s">
        <v>48</v>
      </c>
      <c r="K241">
        <v>34</v>
      </c>
      <c r="L241">
        <v>97.45</v>
      </c>
      <c r="M241">
        <v>10</v>
      </c>
      <c r="N241" s="15">
        <f t="shared" si="3"/>
        <v>3313.3</v>
      </c>
      <c r="O241" t="s">
        <v>28</v>
      </c>
      <c r="P241" t="s">
        <v>132</v>
      </c>
      <c r="Q241" t="s">
        <v>76</v>
      </c>
      <c r="R241" t="s">
        <v>31</v>
      </c>
      <c r="S241">
        <v>5</v>
      </c>
      <c r="T241" t="s">
        <v>131</v>
      </c>
    </row>
    <row r="242" spans="1:20">
      <c r="A242">
        <v>241</v>
      </c>
      <c r="B242" s="14">
        <v>45764</v>
      </c>
      <c r="C242" t="s">
        <v>20</v>
      </c>
      <c r="D242" t="s">
        <v>133</v>
      </c>
      <c r="E242" t="s">
        <v>82</v>
      </c>
      <c r="F242" t="s">
        <v>91</v>
      </c>
      <c r="G242" t="s">
        <v>88</v>
      </c>
      <c r="H242" t="s">
        <v>58</v>
      </c>
      <c r="I242" t="s">
        <v>74</v>
      </c>
      <c r="J242" t="s">
        <v>27</v>
      </c>
      <c r="K242">
        <v>37</v>
      </c>
      <c r="L242">
        <v>68.56</v>
      </c>
      <c r="M242">
        <v>5</v>
      </c>
      <c r="N242" s="15">
        <f t="shared" si="3"/>
        <v>2536.72</v>
      </c>
      <c r="O242" t="s">
        <v>28</v>
      </c>
      <c r="P242" t="s">
        <v>71</v>
      </c>
      <c r="Q242" t="s">
        <v>30</v>
      </c>
      <c r="R242" t="s">
        <v>42</v>
      </c>
      <c r="S242">
        <v>5</v>
      </c>
      <c r="T242" t="s">
        <v>125</v>
      </c>
    </row>
    <row r="243" spans="1:20">
      <c r="A243">
        <v>242</v>
      </c>
      <c r="B243" s="14">
        <v>45891</v>
      </c>
      <c r="C243" t="s">
        <v>60</v>
      </c>
      <c r="D243" t="s">
        <v>129</v>
      </c>
      <c r="E243" t="s">
        <v>93</v>
      </c>
      <c r="F243" t="s">
        <v>44</v>
      </c>
      <c r="G243" t="s">
        <v>88</v>
      </c>
      <c r="H243" t="s">
        <v>25</v>
      </c>
      <c r="I243" t="s">
        <v>74</v>
      </c>
      <c r="J243" t="s">
        <v>48</v>
      </c>
      <c r="K243">
        <v>24</v>
      </c>
      <c r="L243">
        <v>81.15</v>
      </c>
      <c r="M243">
        <v>10</v>
      </c>
      <c r="N243" s="15">
        <f t="shared" si="3"/>
        <v>1947.6</v>
      </c>
      <c r="O243" t="s">
        <v>28</v>
      </c>
      <c r="P243" t="s">
        <v>71</v>
      </c>
      <c r="Q243" t="s">
        <v>30</v>
      </c>
      <c r="R243" t="s">
        <v>31</v>
      </c>
      <c r="S243">
        <v>1</v>
      </c>
      <c r="T243" t="s">
        <v>125</v>
      </c>
    </row>
    <row r="244" spans="1:20">
      <c r="A244">
        <v>243</v>
      </c>
      <c r="B244" s="14">
        <v>45997</v>
      </c>
      <c r="C244" t="s">
        <v>20</v>
      </c>
      <c r="D244" t="s">
        <v>61</v>
      </c>
      <c r="E244" t="s">
        <v>82</v>
      </c>
      <c r="F244" t="s">
        <v>23</v>
      </c>
      <c r="G244" t="s">
        <v>81</v>
      </c>
      <c r="H244" t="s">
        <v>58</v>
      </c>
      <c r="I244" t="s">
        <v>53</v>
      </c>
      <c r="J244" t="s">
        <v>27</v>
      </c>
      <c r="K244">
        <v>24</v>
      </c>
      <c r="L244">
        <v>82.42</v>
      </c>
      <c r="M244">
        <v>5</v>
      </c>
      <c r="N244" s="15">
        <f t="shared" si="3"/>
        <v>1978.08</v>
      </c>
      <c r="O244" t="s">
        <v>28</v>
      </c>
      <c r="P244" t="s">
        <v>71</v>
      </c>
      <c r="Q244" t="s">
        <v>76</v>
      </c>
      <c r="R244" t="s">
        <v>42</v>
      </c>
      <c r="S244">
        <v>3</v>
      </c>
      <c r="T244" t="s">
        <v>131</v>
      </c>
    </row>
    <row r="245" spans="1:20">
      <c r="A245">
        <v>244</v>
      </c>
      <c r="B245" s="14">
        <v>46011</v>
      </c>
      <c r="C245" t="s">
        <v>50</v>
      </c>
      <c r="D245" t="s">
        <v>133</v>
      </c>
      <c r="E245" t="s">
        <v>97</v>
      </c>
      <c r="F245" t="s">
        <v>130</v>
      </c>
      <c r="G245" t="s">
        <v>24</v>
      </c>
      <c r="H245" t="s">
        <v>58</v>
      </c>
      <c r="I245" t="s">
        <v>26</v>
      </c>
      <c r="J245" t="s">
        <v>27</v>
      </c>
      <c r="K245">
        <v>11</v>
      </c>
      <c r="L245">
        <v>14.85</v>
      </c>
      <c r="M245">
        <v>0</v>
      </c>
      <c r="N245" s="15">
        <f t="shared" si="3"/>
        <v>163.35</v>
      </c>
      <c r="O245" t="s">
        <v>28</v>
      </c>
      <c r="P245" t="s">
        <v>71</v>
      </c>
      <c r="Q245" t="s">
        <v>76</v>
      </c>
      <c r="R245" t="s">
        <v>42</v>
      </c>
      <c r="S245">
        <v>4</v>
      </c>
      <c r="T245" t="s">
        <v>127</v>
      </c>
    </row>
    <row r="246" spans="1:20">
      <c r="A246">
        <v>245</v>
      </c>
      <c r="B246" s="14">
        <v>45971</v>
      </c>
      <c r="C246" t="s">
        <v>20</v>
      </c>
      <c r="D246" t="s">
        <v>61</v>
      </c>
      <c r="E246" t="s">
        <v>69</v>
      </c>
      <c r="F246" t="s">
        <v>130</v>
      </c>
      <c r="G246" t="s">
        <v>24</v>
      </c>
      <c r="H246" t="s">
        <v>73</v>
      </c>
      <c r="I246" t="s">
        <v>38</v>
      </c>
      <c r="J246" t="s">
        <v>27</v>
      </c>
      <c r="K246">
        <v>27</v>
      </c>
      <c r="L246">
        <v>46.87</v>
      </c>
      <c r="M246">
        <v>0</v>
      </c>
      <c r="N246" s="15">
        <f t="shared" si="3"/>
        <v>1265.49</v>
      </c>
      <c r="O246" t="s">
        <v>54</v>
      </c>
      <c r="P246" t="s">
        <v>132</v>
      </c>
      <c r="Q246" t="s">
        <v>30</v>
      </c>
      <c r="R246" t="s">
        <v>42</v>
      </c>
      <c r="S246">
        <v>5</v>
      </c>
      <c r="T246" t="s">
        <v>125</v>
      </c>
    </row>
    <row r="247" spans="1:20">
      <c r="A247">
        <v>246</v>
      </c>
      <c r="B247" s="14">
        <v>46000</v>
      </c>
      <c r="C247" t="s">
        <v>50</v>
      </c>
      <c r="D247" t="s">
        <v>129</v>
      </c>
      <c r="E247" t="s">
        <v>99</v>
      </c>
      <c r="F247" t="s">
        <v>91</v>
      </c>
      <c r="G247" t="s">
        <v>128</v>
      </c>
      <c r="H247" t="s">
        <v>58</v>
      </c>
      <c r="I247" t="s">
        <v>74</v>
      </c>
      <c r="J247" t="s">
        <v>63</v>
      </c>
      <c r="K247">
        <v>43</v>
      </c>
      <c r="L247">
        <v>74.03</v>
      </c>
      <c r="M247">
        <v>15</v>
      </c>
      <c r="N247" s="15">
        <f t="shared" si="3"/>
        <v>3183.29</v>
      </c>
      <c r="O247" t="s">
        <v>54</v>
      </c>
      <c r="P247" t="s">
        <v>71</v>
      </c>
      <c r="Q247" t="s">
        <v>76</v>
      </c>
      <c r="R247" t="s">
        <v>42</v>
      </c>
      <c r="S247">
        <v>5</v>
      </c>
      <c r="T247" t="s">
        <v>131</v>
      </c>
    </row>
    <row r="248" spans="1:20">
      <c r="A248">
        <v>247</v>
      </c>
      <c r="B248" s="14">
        <v>45663</v>
      </c>
      <c r="C248" t="s">
        <v>20</v>
      </c>
      <c r="D248" t="s">
        <v>61</v>
      </c>
      <c r="E248" t="s">
        <v>111</v>
      </c>
      <c r="F248" t="s">
        <v>44</v>
      </c>
      <c r="G248" t="s">
        <v>81</v>
      </c>
      <c r="H248" t="s">
        <v>25</v>
      </c>
      <c r="I248" t="s">
        <v>74</v>
      </c>
      <c r="J248" t="s">
        <v>63</v>
      </c>
      <c r="K248">
        <v>21</v>
      </c>
      <c r="L248">
        <v>27.88</v>
      </c>
      <c r="M248">
        <v>10</v>
      </c>
      <c r="N248" s="15">
        <f t="shared" si="3"/>
        <v>585.48</v>
      </c>
      <c r="O248" t="s">
        <v>28</v>
      </c>
      <c r="P248" t="s">
        <v>64</v>
      </c>
      <c r="Q248" t="s">
        <v>76</v>
      </c>
      <c r="R248" t="s">
        <v>42</v>
      </c>
      <c r="S248">
        <v>2</v>
      </c>
      <c r="T248" t="s">
        <v>131</v>
      </c>
    </row>
    <row r="249" spans="1:20">
      <c r="A249">
        <v>248</v>
      </c>
      <c r="B249" s="14">
        <v>45893</v>
      </c>
      <c r="C249" t="s">
        <v>85</v>
      </c>
      <c r="D249" t="s">
        <v>61</v>
      </c>
      <c r="E249" t="s">
        <v>100</v>
      </c>
      <c r="F249" t="s">
        <v>44</v>
      </c>
      <c r="G249" t="s">
        <v>88</v>
      </c>
      <c r="H249" t="s">
        <v>73</v>
      </c>
      <c r="I249" t="s">
        <v>38</v>
      </c>
      <c r="J249" t="s">
        <v>48</v>
      </c>
      <c r="K249">
        <v>8</v>
      </c>
      <c r="L249">
        <v>98.16</v>
      </c>
      <c r="M249">
        <v>0</v>
      </c>
      <c r="N249" s="15">
        <f t="shared" si="3"/>
        <v>785.28</v>
      </c>
      <c r="O249" t="s">
        <v>28</v>
      </c>
      <c r="P249" t="s">
        <v>71</v>
      </c>
      <c r="Q249" t="s">
        <v>76</v>
      </c>
      <c r="R249" t="s">
        <v>31</v>
      </c>
      <c r="S249">
        <v>5</v>
      </c>
      <c r="T249" t="s">
        <v>131</v>
      </c>
    </row>
    <row r="250" spans="1:20">
      <c r="A250">
        <v>249</v>
      </c>
      <c r="B250" s="14">
        <v>45704</v>
      </c>
      <c r="C250" t="s">
        <v>50</v>
      </c>
      <c r="D250" t="s">
        <v>126</v>
      </c>
      <c r="E250" t="s">
        <v>123</v>
      </c>
      <c r="F250" t="s">
        <v>130</v>
      </c>
      <c r="G250" t="s">
        <v>45</v>
      </c>
      <c r="H250" t="s">
        <v>58</v>
      </c>
      <c r="I250" t="s">
        <v>47</v>
      </c>
      <c r="J250" t="s">
        <v>39</v>
      </c>
      <c r="K250">
        <v>42</v>
      </c>
      <c r="L250">
        <v>68.79</v>
      </c>
      <c r="M250">
        <v>10</v>
      </c>
      <c r="N250" s="15">
        <f t="shared" si="3"/>
        <v>2889.18</v>
      </c>
      <c r="O250" t="s">
        <v>54</v>
      </c>
      <c r="P250" t="s">
        <v>71</v>
      </c>
      <c r="Q250" t="s">
        <v>76</v>
      </c>
      <c r="R250" t="s">
        <v>42</v>
      </c>
      <c r="S250">
        <v>3</v>
      </c>
      <c r="T250" t="s">
        <v>131</v>
      </c>
    </row>
    <row r="251" spans="1:20">
      <c r="A251">
        <v>250</v>
      </c>
      <c r="B251" s="14">
        <v>45994</v>
      </c>
      <c r="C251" t="s">
        <v>60</v>
      </c>
      <c r="D251" t="s">
        <v>124</v>
      </c>
      <c r="E251" t="s">
        <v>80</v>
      </c>
      <c r="F251" t="s">
        <v>44</v>
      </c>
      <c r="G251" t="s">
        <v>88</v>
      </c>
      <c r="H251" t="s">
        <v>25</v>
      </c>
      <c r="I251" t="s">
        <v>74</v>
      </c>
      <c r="J251" t="s">
        <v>48</v>
      </c>
      <c r="K251">
        <v>23</v>
      </c>
      <c r="L251">
        <v>83.84</v>
      </c>
      <c r="M251">
        <v>10</v>
      </c>
      <c r="N251" s="15">
        <f t="shared" si="3"/>
        <v>1928.32</v>
      </c>
      <c r="O251" t="s">
        <v>54</v>
      </c>
      <c r="P251" t="s">
        <v>71</v>
      </c>
      <c r="Q251" t="s">
        <v>30</v>
      </c>
      <c r="R251" t="s">
        <v>31</v>
      </c>
      <c r="S251">
        <v>4</v>
      </c>
      <c r="T251" t="s">
        <v>125</v>
      </c>
    </row>
    <row r="252" spans="1:20">
      <c r="A252">
        <v>251</v>
      </c>
      <c r="B252" s="14">
        <v>45867</v>
      </c>
      <c r="C252" t="s">
        <v>20</v>
      </c>
      <c r="D252" t="s">
        <v>129</v>
      </c>
      <c r="E252" t="s">
        <v>123</v>
      </c>
      <c r="F252" t="s">
        <v>91</v>
      </c>
      <c r="G252" t="s">
        <v>24</v>
      </c>
      <c r="H252" t="s">
        <v>58</v>
      </c>
      <c r="I252" t="s">
        <v>38</v>
      </c>
      <c r="J252" t="s">
        <v>39</v>
      </c>
      <c r="K252">
        <v>30</v>
      </c>
      <c r="L252">
        <v>83.33</v>
      </c>
      <c r="M252">
        <v>5</v>
      </c>
      <c r="N252" s="15">
        <f t="shared" si="3"/>
        <v>2499.9</v>
      </c>
      <c r="O252" t="s">
        <v>54</v>
      </c>
      <c r="P252" t="s">
        <v>71</v>
      </c>
      <c r="Q252" t="s">
        <v>76</v>
      </c>
      <c r="R252" t="s">
        <v>31</v>
      </c>
      <c r="S252">
        <v>5</v>
      </c>
      <c r="T252" t="s">
        <v>131</v>
      </c>
    </row>
    <row r="253" spans="1:20">
      <c r="A253">
        <v>252</v>
      </c>
      <c r="B253" s="14">
        <v>45888</v>
      </c>
      <c r="C253" t="s">
        <v>85</v>
      </c>
      <c r="D253" t="s">
        <v>124</v>
      </c>
      <c r="E253" t="s">
        <v>98</v>
      </c>
      <c r="F253" t="s">
        <v>91</v>
      </c>
      <c r="G253" t="s">
        <v>24</v>
      </c>
      <c r="H253" t="s">
        <v>73</v>
      </c>
      <c r="I253" t="s">
        <v>74</v>
      </c>
      <c r="J253" t="s">
        <v>27</v>
      </c>
      <c r="K253">
        <v>36</v>
      </c>
      <c r="L253">
        <v>93.85</v>
      </c>
      <c r="M253">
        <v>0</v>
      </c>
      <c r="N253" s="15">
        <f t="shared" si="3"/>
        <v>3378.6</v>
      </c>
      <c r="O253" t="s">
        <v>28</v>
      </c>
      <c r="P253" t="s">
        <v>64</v>
      </c>
      <c r="Q253" t="s">
        <v>76</v>
      </c>
      <c r="R253" t="s">
        <v>42</v>
      </c>
      <c r="S253">
        <v>2</v>
      </c>
      <c r="T253" t="s">
        <v>131</v>
      </c>
    </row>
    <row r="254" spans="1:20">
      <c r="A254">
        <v>253</v>
      </c>
      <c r="B254" s="14">
        <v>45856</v>
      </c>
      <c r="C254" t="s">
        <v>20</v>
      </c>
      <c r="D254" t="s">
        <v>126</v>
      </c>
      <c r="E254" t="s">
        <v>95</v>
      </c>
      <c r="F254" t="s">
        <v>23</v>
      </c>
      <c r="G254" t="s">
        <v>68</v>
      </c>
      <c r="H254" t="s">
        <v>73</v>
      </c>
      <c r="I254" t="s">
        <v>38</v>
      </c>
      <c r="J254" t="s">
        <v>39</v>
      </c>
      <c r="K254">
        <v>18</v>
      </c>
      <c r="L254">
        <v>42.8</v>
      </c>
      <c r="M254">
        <v>10</v>
      </c>
      <c r="N254" s="15">
        <f t="shared" si="3"/>
        <v>770.4</v>
      </c>
      <c r="O254" t="s">
        <v>54</v>
      </c>
      <c r="P254" t="s">
        <v>71</v>
      </c>
      <c r="Q254" t="s">
        <v>76</v>
      </c>
      <c r="R254" t="s">
        <v>31</v>
      </c>
      <c r="S254">
        <v>4</v>
      </c>
      <c r="T254" t="s">
        <v>127</v>
      </c>
    </row>
    <row r="255" spans="1:20">
      <c r="A255">
        <v>254</v>
      </c>
      <c r="B255" s="14">
        <v>46017</v>
      </c>
      <c r="C255" t="s">
        <v>33</v>
      </c>
      <c r="D255" t="s">
        <v>61</v>
      </c>
      <c r="E255" t="s">
        <v>108</v>
      </c>
      <c r="F255" t="s">
        <v>130</v>
      </c>
      <c r="G255" t="s">
        <v>128</v>
      </c>
      <c r="H255" t="s">
        <v>58</v>
      </c>
      <c r="I255" t="s">
        <v>26</v>
      </c>
      <c r="J255" t="s">
        <v>39</v>
      </c>
      <c r="K255">
        <v>14</v>
      </c>
      <c r="L255">
        <v>64.3</v>
      </c>
      <c r="M255">
        <v>10</v>
      </c>
      <c r="N255" s="15">
        <f t="shared" si="3"/>
        <v>900.2</v>
      </c>
      <c r="O255" t="s">
        <v>54</v>
      </c>
      <c r="P255" t="s">
        <v>64</v>
      </c>
      <c r="Q255" t="s">
        <v>76</v>
      </c>
      <c r="R255" t="s">
        <v>42</v>
      </c>
      <c r="S255">
        <v>5</v>
      </c>
      <c r="T255" t="s">
        <v>127</v>
      </c>
    </row>
    <row r="256" spans="1:20">
      <c r="A256">
        <v>255</v>
      </c>
      <c r="B256" s="14">
        <v>46021</v>
      </c>
      <c r="C256" t="s">
        <v>20</v>
      </c>
      <c r="D256" t="s">
        <v>61</v>
      </c>
      <c r="E256" t="s">
        <v>84</v>
      </c>
      <c r="F256" t="s">
        <v>91</v>
      </c>
      <c r="G256" t="s">
        <v>81</v>
      </c>
      <c r="H256" t="s">
        <v>58</v>
      </c>
      <c r="I256" t="s">
        <v>47</v>
      </c>
      <c r="J256" t="s">
        <v>63</v>
      </c>
      <c r="K256">
        <v>44</v>
      </c>
      <c r="L256">
        <v>76.05</v>
      </c>
      <c r="M256">
        <v>0</v>
      </c>
      <c r="N256" s="15">
        <f t="shared" si="3"/>
        <v>3346.2</v>
      </c>
      <c r="O256" t="s">
        <v>54</v>
      </c>
      <c r="P256" t="s">
        <v>71</v>
      </c>
      <c r="Q256" t="s">
        <v>30</v>
      </c>
      <c r="R256" t="s">
        <v>42</v>
      </c>
      <c r="S256">
        <v>1</v>
      </c>
      <c r="T256" t="s">
        <v>131</v>
      </c>
    </row>
    <row r="257" spans="1:20">
      <c r="A257">
        <v>256</v>
      </c>
      <c r="B257" s="14">
        <v>45853</v>
      </c>
      <c r="C257" t="s">
        <v>50</v>
      </c>
      <c r="D257" t="s">
        <v>124</v>
      </c>
      <c r="E257" t="s">
        <v>112</v>
      </c>
      <c r="F257" t="s">
        <v>44</v>
      </c>
      <c r="G257" t="s">
        <v>24</v>
      </c>
      <c r="H257" t="s">
        <v>46</v>
      </c>
      <c r="I257" t="s">
        <v>26</v>
      </c>
      <c r="J257" t="s">
        <v>48</v>
      </c>
      <c r="K257">
        <v>44</v>
      </c>
      <c r="L257">
        <v>28.8</v>
      </c>
      <c r="M257">
        <v>0</v>
      </c>
      <c r="N257" s="15">
        <f t="shared" si="3"/>
        <v>1267.2</v>
      </c>
      <c r="O257" t="s">
        <v>54</v>
      </c>
      <c r="P257" t="s">
        <v>64</v>
      </c>
      <c r="Q257" t="s">
        <v>30</v>
      </c>
      <c r="R257" t="s">
        <v>42</v>
      </c>
      <c r="S257">
        <v>4</v>
      </c>
      <c r="T257" t="s">
        <v>131</v>
      </c>
    </row>
    <row r="258" spans="1:20">
      <c r="A258">
        <v>257</v>
      </c>
      <c r="B258" s="14">
        <v>45973</v>
      </c>
      <c r="C258" t="s">
        <v>50</v>
      </c>
      <c r="D258" t="s">
        <v>124</v>
      </c>
      <c r="E258" t="s">
        <v>22</v>
      </c>
      <c r="F258" t="s">
        <v>91</v>
      </c>
      <c r="G258" t="s">
        <v>24</v>
      </c>
      <c r="H258" t="s">
        <v>58</v>
      </c>
      <c r="I258" t="s">
        <v>38</v>
      </c>
      <c r="J258" t="s">
        <v>39</v>
      </c>
      <c r="K258">
        <v>33</v>
      </c>
      <c r="L258">
        <v>79.51</v>
      </c>
      <c r="M258">
        <v>10</v>
      </c>
      <c r="N258" s="15">
        <f t="shared" ref="N258:N321" si="4">PRODUCT(K258,L258)</f>
        <v>2623.83</v>
      </c>
      <c r="O258" t="s">
        <v>28</v>
      </c>
      <c r="P258" t="s">
        <v>71</v>
      </c>
      <c r="Q258" t="s">
        <v>76</v>
      </c>
      <c r="R258" t="s">
        <v>42</v>
      </c>
      <c r="S258">
        <v>5</v>
      </c>
      <c r="T258" t="s">
        <v>127</v>
      </c>
    </row>
    <row r="259" spans="1:20">
      <c r="A259">
        <v>258</v>
      </c>
      <c r="B259" s="14">
        <v>45940</v>
      </c>
      <c r="C259" t="s">
        <v>20</v>
      </c>
      <c r="D259" t="s">
        <v>124</v>
      </c>
      <c r="E259" t="s">
        <v>22</v>
      </c>
      <c r="F259" t="s">
        <v>23</v>
      </c>
      <c r="G259" t="s">
        <v>24</v>
      </c>
      <c r="H259" t="s">
        <v>58</v>
      </c>
      <c r="I259" t="s">
        <v>38</v>
      </c>
      <c r="J259" t="s">
        <v>39</v>
      </c>
      <c r="K259">
        <v>41</v>
      </c>
      <c r="L259">
        <v>71.94</v>
      </c>
      <c r="M259">
        <v>10</v>
      </c>
      <c r="N259" s="15">
        <f t="shared" si="4"/>
        <v>2949.54</v>
      </c>
      <c r="O259" t="s">
        <v>40</v>
      </c>
      <c r="P259" t="s">
        <v>64</v>
      </c>
      <c r="Q259" t="s">
        <v>30</v>
      </c>
      <c r="R259" t="s">
        <v>42</v>
      </c>
      <c r="S259">
        <v>2</v>
      </c>
      <c r="T259" t="s">
        <v>131</v>
      </c>
    </row>
    <row r="260" spans="1:20">
      <c r="A260">
        <v>259</v>
      </c>
      <c r="B260" s="14">
        <v>45753</v>
      </c>
      <c r="C260" t="s">
        <v>50</v>
      </c>
      <c r="D260" t="s">
        <v>124</v>
      </c>
      <c r="E260" t="s">
        <v>111</v>
      </c>
      <c r="F260" t="s">
        <v>44</v>
      </c>
      <c r="G260" t="s">
        <v>81</v>
      </c>
      <c r="H260" t="s">
        <v>58</v>
      </c>
      <c r="I260" t="s">
        <v>38</v>
      </c>
      <c r="J260" t="s">
        <v>48</v>
      </c>
      <c r="K260">
        <v>36</v>
      </c>
      <c r="L260">
        <v>30.1</v>
      </c>
      <c r="M260">
        <v>5</v>
      </c>
      <c r="N260" s="15">
        <f t="shared" si="4"/>
        <v>1083.6</v>
      </c>
      <c r="O260" t="s">
        <v>54</v>
      </c>
      <c r="P260" t="s">
        <v>71</v>
      </c>
      <c r="Q260" t="s">
        <v>30</v>
      </c>
      <c r="R260" t="s">
        <v>42</v>
      </c>
      <c r="S260">
        <v>3</v>
      </c>
      <c r="T260" t="s">
        <v>125</v>
      </c>
    </row>
    <row r="261" spans="1:20">
      <c r="A261">
        <v>260</v>
      </c>
      <c r="B261" s="14">
        <v>45678</v>
      </c>
      <c r="C261" t="s">
        <v>50</v>
      </c>
      <c r="D261" t="s">
        <v>129</v>
      </c>
      <c r="E261" t="s">
        <v>95</v>
      </c>
      <c r="F261" t="s">
        <v>44</v>
      </c>
      <c r="G261" t="s">
        <v>128</v>
      </c>
      <c r="H261" t="s">
        <v>58</v>
      </c>
      <c r="I261" t="s">
        <v>53</v>
      </c>
      <c r="J261" t="s">
        <v>63</v>
      </c>
      <c r="K261">
        <v>37</v>
      </c>
      <c r="L261">
        <v>57.27</v>
      </c>
      <c r="M261">
        <v>0</v>
      </c>
      <c r="N261" s="15">
        <f t="shared" si="4"/>
        <v>2118.99</v>
      </c>
      <c r="O261" t="s">
        <v>54</v>
      </c>
      <c r="P261" t="s">
        <v>64</v>
      </c>
      <c r="Q261" t="s">
        <v>76</v>
      </c>
      <c r="R261" t="s">
        <v>42</v>
      </c>
      <c r="S261">
        <v>1</v>
      </c>
      <c r="T261" t="s">
        <v>125</v>
      </c>
    </row>
    <row r="262" spans="1:20">
      <c r="A262">
        <v>261</v>
      </c>
      <c r="B262" s="14">
        <v>45870</v>
      </c>
      <c r="C262" t="s">
        <v>33</v>
      </c>
      <c r="D262" t="s">
        <v>126</v>
      </c>
      <c r="E262" t="s">
        <v>87</v>
      </c>
      <c r="F262" t="s">
        <v>44</v>
      </c>
      <c r="G262" t="s">
        <v>45</v>
      </c>
      <c r="H262" t="s">
        <v>25</v>
      </c>
      <c r="I262" t="s">
        <v>26</v>
      </c>
      <c r="J262" t="s">
        <v>48</v>
      </c>
      <c r="K262">
        <v>22</v>
      </c>
      <c r="L262">
        <v>39.28</v>
      </c>
      <c r="M262">
        <v>5</v>
      </c>
      <c r="N262" s="15">
        <f t="shared" si="4"/>
        <v>864.16</v>
      </c>
      <c r="O262" t="s">
        <v>28</v>
      </c>
      <c r="P262" t="s">
        <v>71</v>
      </c>
      <c r="Q262" t="s">
        <v>30</v>
      </c>
      <c r="R262" t="s">
        <v>42</v>
      </c>
      <c r="S262">
        <v>3</v>
      </c>
      <c r="T262" t="s">
        <v>131</v>
      </c>
    </row>
    <row r="263" spans="1:20">
      <c r="A263">
        <v>262</v>
      </c>
      <c r="B263" s="14">
        <v>45781</v>
      </c>
      <c r="C263" t="s">
        <v>20</v>
      </c>
      <c r="D263" t="s">
        <v>126</v>
      </c>
      <c r="E263" t="s">
        <v>123</v>
      </c>
      <c r="F263" t="s">
        <v>91</v>
      </c>
      <c r="G263" t="s">
        <v>88</v>
      </c>
      <c r="H263" t="s">
        <v>46</v>
      </c>
      <c r="I263" t="s">
        <v>38</v>
      </c>
      <c r="J263" t="s">
        <v>27</v>
      </c>
      <c r="K263">
        <v>25</v>
      </c>
      <c r="L263">
        <v>29.38</v>
      </c>
      <c r="M263">
        <v>10</v>
      </c>
      <c r="N263" s="15">
        <f t="shared" si="4"/>
        <v>734.5</v>
      </c>
      <c r="O263" t="s">
        <v>28</v>
      </c>
      <c r="P263" t="s">
        <v>132</v>
      </c>
      <c r="Q263" t="s">
        <v>76</v>
      </c>
      <c r="R263" t="s">
        <v>42</v>
      </c>
      <c r="S263">
        <v>1</v>
      </c>
      <c r="T263" t="s">
        <v>127</v>
      </c>
    </row>
    <row r="264" spans="1:20">
      <c r="A264">
        <v>263</v>
      </c>
      <c r="B264" s="14">
        <v>45991</v>
      </c>
      <c r="C264" t="s">
        <v>50</v>
      </c>
      <c r="D264" t="s">
        <v>129</v>
      </c>
      <c r="E264" t="s">
        <v>111</v>
      </c>
      <c r="F264" t="s">
        <v>44</v>
      </c>
      <c r="G264" t="s">
        <v>88</v>
      </c>
      <c r="H264" t="s">
        <v>25</v>
      </c>
      <c r="I264" t="s">
        <v>47</v>
      </c>
      <c r="J264" t="s">
        <v>27</v>
      </c>
      <c r="K264">
        <v>41</v>
      </c>
      <c r="L264">
        <v>11.22</v>
      </c>
      <c r="M264">
        <v>5</v>
      </c>
      <c r="N264" s="15">
        <f t="shared" si="4"/>
        <v>460.02</v>
      </c>
      <c r="O264" t="s">
        <v>28</v>
      </c>
      <c r="P264" t="s">
        <v>71</v>
      </c>
      <c r="Q264" t="s">
        <v>76</v>
      </c>
      <c r="R264" t="s">
        <v>42</v>
      </c>
      <c r="S264">
        <v>3</v>
      </c>
      <c r="T264" t="s">
        <v>131</v>
      </c>
    </row>
    <row r="265" spans="1:20">
      <c r="A265">
        <v>264</v>
      </c>
      <c r="B265" s="14">
        <v>45989</v>
      </c>
      <c r="C265" t="s">
        <v>50</v>
      </c>
      <c r="D265" t="s">
        <v>124</v>
      </c>
      <c r="E265" t="s">
        <v>22</v>
      </c>
      <c r="F265" t="s">
        <v>130</v>
      </c>
      <c r="G265" t="s">
        <v>24</v>
      </c>
      <c r="H265" t="s">
        <v>58</v>
      </c>
      <c r="I265" t="s">
        <v>38</v>
      </c>
      <c r="J265" t="s">
        <v>48</v>
      </c>
      <c r="K265">
        <v>3</v>
      </c>
      <c r="L265">
        <v>13.31</v>
      </c>
      <c r="M265">
        <v>0</v>
      </c>
      <c r="N265" s="15">
        <f t="shared" si="4"/>
        <v>39.93</v>
      </c>
      <c r="O265" t="s">
        <v>40</v>
      </c>
      <c r="P265" t="s">
        <v>132</v>
      </c>
      <c r="Q265" t="s">
        <v>30</v>
      </c>
      <c r="R265" t="s">
        <v>42</v>
      </c>
      <c r="S265">
        <v>2</v>
      </c>
      <c r="T265" t="s">
        <v>127</v>
      </c>
    </row>
    <row r="266" spans="1:20">
      <c r="A266">
        <v>265</v>
      </c>
      <c r="B266" s="14">
        <v>45866</v>
      </c>
      <c r="C266" t="s">
        <v>85</v>
      </c>
      <c r="D266" t="s">
        <v>133</v>
      </c>
      <c r="E266" t="s">
        <v>104</v>
      </c>
      <c r="F266" t="s">
        <v>44</v>
      </c>
      <c r="G266" t="s">
        <v>81</v>
      </c>
      <c r="H266" t="s">
        <v>46</v>
      </c>
      <c r="I266" t="s">
        <v>74</v>
      </c>
      <c r="J266" t="s">
        <v>63</v>
      </c>
      <c r="K266">
        <v>44</v>
      </c>
      <c r="L266">
        <v>16.24</v>
      </c>
      <c r="M266">
        <v>0</v>
      </c>
      <c r="N266" s="15">
        <f t="shared" si="4"/>
        <v>714.56</v>
      </c>
      <c r="O266" t="s">
        <v>28</v>
      </c>
      <c r="P266" t="s">
        <v>71</v>
      </c>
      <c r="Q266" t="s">
        <v>30</v>
      </c>
      <c r="R266" t="s">
        <v>42</v>
      </c>
      <c r="S266">
        <v>5</v>
      </c>
      <c r="T266" t="s">
        <v>131</v>
      </c>
    </row>
    <row r="267" spans="1:20">
      <c r="A267">
        <v>266</v>
      </c>
      <c r="B267" s="14">
        <v>45806</v>
      </c>
      <c r="C267" t="s">
        <v>50</v>
      </c>
      <c r="D267" t="s">
        <v>124</v>
      </c>
      <c r="E267" t="s">
        <v>114</v>
      </c>
      <c r="F267" t="s">
        <v>91</v>
      </c>
      <c r="G267" t="s">
        <v>88</v>
      </c>
      <c r="H267" t="s">
        <v>46</v>
      </c>
      <c r="I267" t="s">
        <v>38</v>
      </c>
      <c r="J267" t="s">
        <v>63</v>
      </c>
      <c r="K267">
        <v>26</v>
      </c>
      <c r="L267">
        <v>83.1</v>
      </c>
      <c r="M267">
        <v>0</v>
      </c>
      <c r="N267" s="15">
        <f t="shared" si="4"/>
        <v>2160.6</v>
      </c>
      <c r="O267" t="s">
        <v>28</v>
      </c>
      <c r="P267" t="s">
        <v>64</v>
      </c>
      <c r="Q267" t="s">
        <v>76</v>
      </c>
      <c r="R267" t="s">
        <v>31</v>
      </c>
      <c r="S267">
        <v>5</v>
      </c>
      <c r="T267" t="s">
        <v>131</v>
      </c>
    </row>
    <row r="268" spans="1:20">
      <c r="A268">
        <v>267</v>
      </c>
      <c r="B268" s="14">
        <v>45937</v>
      </c>
      <c r="C268" t="s">
        <v>60</v>
      </c>
      <c r="D268" t="s">
        <v>124</v>
      </c>
      <c r="E268" t="s">
        <v>90</v>
      </c>
      <c r="F268" t="s">
        <v>23</v>
      </c>
      <c r="G268" t="s">
        <v>128</v>
      </c>
      <c r="H268" t="s">
        <v>46</v>
      </c>
      <c r="I268" t="s">
        <v>74</v>
      </c>
      <c r="J268" t="s">
        <v>39</v>
      </c>
      <c r="K268">
        <v>8</v>
      </c>
      <c r="L268">
        <v>8.97</v>
      </c>
      <c r="M268">
        <v>0</v>
      </c>
      <c r="N268" s="15">
        <f t="shared" si="4"/>
        <v>71.76</v>
      </c>
      <c r="O268" t="s">
        <v>28</v>
      </c>
      <c r="P268" t="s">
        <v>71</v>
      </c>
      <c r="Q268" t="s">
        <v>30</v>
      </c>
      <c r="R268" t="s">
        <v>31</v>
      </c>
      <c r="S268">
        <v>5</v>
      </c>
      <c r="T268" t="s">
        <v>127</v>
      </c>
    </row>
    <row r="269" spans="1:20">
      <c r="A269">
        <v>268</v>
      </c>
      <c r="B269" s="14">
        <v>45766</v>
      </c>
      <c r="C269" t="s">
        <v>85</v>
      </c>
      <c r="D269" t="s">
        <v>124</v>
      </c>
      <c r="E269" t="s">
        <v>111</v>
      </c>
      <c r="F269" t="s">
        <v>91</v>
      </c>
      <c r="G269" t="s">
        <v>24</v>
      </c>
      <c r="H269" t="s">
        <v>25</v>
      </c>
      <c r="I269" t="s">
        <v>26</v>
      </c>
      <c r="J269" t="s">
        <v>48</v>
      </c>
      <c r="K269">
        <v>13</v>
      </c>
      <c r="L269">
        <v>15.89</v>
      </c>
      <c r="M269">
        <v>0</v>
      </c>
      <c r="N269" s="15">
        <f t="shared" si="4"/>
        <v>206.57</v>
      </c>
      <c r="O269" t="s">
        <v>28</v>
      </c>
      <c r="P269" t="s">
        <v>71</v>
      </c>
      <c r="Q269" t="s">
        <v>30</v>
      </c>
      <c r="R269" t="s">
        <v>42</v>
      </c>
      <c r="S269">
        <v>5</v>
      </c>
      <c r="T269" t="s">
        <v>131</v>
      </c>
    </row>
    <row r="270" spans="1:20">
      <c r="A270">
        <v>269</v>
      </c>
      <c r="B270" s="14">
        <v>45786</v>
      </c>
      <c r="C270" t="s">
        <v>20</v>
      </c>
      <c r="D270" t="s">
        <v>61</v>
      </c>
      <c r="E270" t="s">
        <v>113</v>
      </c>
      <c r="F270" t="s">
        <v>91</v>
      </c>
      <c r="G270" t="s">
        <v>81</v>
      </c>
      <c r="H270" t="s">
        <v>46</v>
      </c>
      <c r="I270" t="s">
        <v>53</v>
      </c>
      <c r="J270" t="s">
        <v>39</v>
      </c>
      <c r="K270">
        <v>43</v>
      </c>
      <c r="L270">
        <v>67.27</v>
      </c>
      <c r="M270">
        <v>0</v>
      </c>
      <c r="N270" s="15">
        <f t="shared" si="4"/>
        <v>2892.61</v>
      </c>
      <c r="O270" t="s">
        <v>54</v>
      </c>
      <c r="P270" t="s">
        <v>71</v>
      </c>
      <c r="Q270" t="s">
        <v>76</v>
      </c>
      <c r="R270" t="s">
        <v>42</v>
      </c>
      <c r="S270">
        <v>4</v>
      </c>
      <c r="T270" t="s">
        <v>131</v>
      </c>
    </row>
    <row r="271" spans="1:20">
      <c r="A271">
        <v>270</v>
      </c>
      <c r="B271" s="14">
        <v>45826</v>
      </c>
      <c r="C271" t="s">
        <v>33</v>
      </c>
      <c r="D271" t="s">
        <v>124</v>
      </c>
      <c r="E271" t="s">
        <v>114</v>
      </c>
      <c r="F271" t="s">
        <v>130</v>
      </c>
      <c r="G271" t="s">
        <v>68</v>
      </c>
      <c r="H271" t="s">
        <v>25</v>
      </c>
      <c r="I271" t="s">
        <v>47</v>
      </c>
      <c r="J271" t="s">
        <v>48</v>
      </c>
      <c r="K271">
        <v>21</v>
      </c>
      <c r="L271">
        <v>96.07</v>
      </c>
      <c r="M271">
        <v>5</v>
      </c>
      <c r="N271" s="15">
        <f t="shared" si="4"/>
        <v>2017.47</v>
      </c>
      <c r="O271" t="s">
        <v>28</v>
      </c>
      <c r="P271" t="s">
        <v>132</v>
      </c>
      <c r="Q271" t="s">
        <v>76</v>
      </c>
      <c r="R271" t="s">
        <v>31</v>
      </c>
      <c r="S271">
        <v>5</v>
      </c>
      <c r="T271" t="s">
        <v>131</v>
      </c>
    </row>
    <row r="272" spans="1:20">
      <c r="A272">
        <v>271</v>
      </c>
      <c r="B272" s="14">
        <v>45799</v>
      </c>
      <c r="C272" t="s">
        <v>50</v>
      </c>
      <c r="D272" t="s">
        <v>129</v>
      </c>
      <c r="E272" t="s">
        <v>89</v>
      </c>
      <c r="F272" t="s">
        <v>130</v>
      </c>
      <c r="G272" t="s">
        <v>128</v>
      </c>
      <c r="H272" t="s">
        <v>46</v>
      </c>
      <c r="I272" t="s">
        <v>38</v>
      </c>
      <c r="J272" t="s">
        <v>63</v>
      </c>
      <c r="K272">
        <v>29</v>
      </c>
      <c r="L272">
        <v>39.08</v>
      </c>
      <c r="M272">
        <v>10</v>
      </c>
      <c r="N272" s="15">
        <f t="shared" si="4"/>
        <v>1133.32</v>
      </c>
      <c r="O272" t="s">
        <v>28</v>
      </c>
      <c r="P272" t="s">
        <v>71</v>
      </c>
      <c r="Q272" t="s">
        <v>76</v>
      </c>
      <c r="R272" t="s">
        <v>42</v>
      </c>
      <c r="S272">
        <v>5</v>
      </c>
      <c r="T272" t="s">
        <v>131</v>
      </c>
    </row>
    <row r="273" spans="1:20">
      <c r="A273">
        <v>272</v>
      </c>
      <c r="B273" s="14">
        <v>45801</v>
      </c>
      <c r="C273" t="s">
        <v>50</v>
      </c>
      <c r="D273" t="s">
        <v>61</v>
      </c>
      <c r="E273" t="s">
        <v>89</v>
      </c>
      <c r="F273" t="s">
        <v>91</v>
      </c>
      <c r="G273" t="s">
        <v>24</v>
      </c>
      <c r="H273" t="s">
        <v>46</v>
      </c>
      <c r="I273" t="s">
        <v>74</v>
      </c>
      <c r="J273" t="s">
        <v>27</v>
      </c>
      <c r="K273">
        <v>2</v>
      </c>
      <c r="L273">
        <v>85.71</v>
      </c>
      <c r="M273">
        <v>0</v>
      </c>
      <c r="N273" s="15">
        <f t="shared" si="4"/>
        <v>171.42</v>
      </c>
      <c r="O273" t="s">
        <v>28</v>
      </c>
      <c r="P273" t="s">
        <v>64</v>
      </c>
      <c r="Q273" t="s">
        <v>30</v>
      </c>
      <c r="R273" t="s">
        <v>42</v>
      </c>
      <c r="S273">
        <v>3</v>
      </c>
      <c r="T273" t="s">
        <v>131</v>
      </c>
    </row>
    <row r="274" spans="1:20">
      <c r="A274">
        <v>273</v>
      </c>
      <c r="B274" s="14">
        <v>45992</v>
      </c>
      <c r="C274" t="s">
        <v>50</v>
      </c>
      <c r="D274" t="s">
        <v>61</v>
      </c>
      <c r="E274" t="s">
        <v>116</v>
      </c>
      <c r="F274" t="s">
        <v>44</v>
      </c>
      <c r="G274" t="s">
        <v>24</v>
      </c>
      <c r="H274" t="s">
        <v>58</v>
      </c>
      <c r="I274" t="s">
        <v>53</v>
      </c>
      <c r="J274" t="s">
        <v>39</v>
      </c>
      <c r="K274">
        <v>30</v>
      </c>
      <c r="L274">
        <v>52.61</v>
      </c>
      <c r="M274">
        <v>0</v>
      </c>
      <c r="N274" s="15">
        <f t="shared" si="4"/>
        <v>1578.3</v>
      </c>
      <c r="O274" t="s">
        <v>28</v>
      </c>
      <c r="P274" t="s">
        <v>132</v>
      </c>
      <c r="Q274" t="s">
        <v>30</v>
      </c>
      <c r="R274" t="s">
        <v>42</v>
      </c>
      <c r="S274">
        <v>2</v>
      </c>
      <c r="T274" t="s">
        <v>125</v>
      </c>
    </row>
    <row r="275" spans="1:20">
      <c r="A275">
        <v>274</v>
      </c>
      <c r="B275" s="14">
        <v>45921</v>
      </c>
      <c r="C275" t="s">
        <v>50</v>
      </c>
      <c r="D275" t="s">
        <v>133</v>
      </c>
      <c r="E275" t="s">
        <v>120</v>
      </c>
      <c r="F275" t="s">
        <v>91</v>
      </c>
      <c r="G275" t="s">
        <v>68</v>
      </c>
      <c r="H275" t="s">
        <v>58</v>
      </c>
      <c r="I275" t="s">
        <v>26</v>
      </c>
      <c r="J275" t="s">
        <v>63</v>
      </c>
      <c r="K275">
        <v>23</v>
      </c>
      <c r="L275">
        <v>8.84</v>
      </c>
      <c r="M275">
        <v>15</v>
      </c>
      <c r="N275" s="15">
        <f t="shared" si="4"/>
        <v>203.32</v>
      </c>
      <c r="O275" t="s">
        <v>40</v>
      </c>
      <c r="P275" t="s">
        <v>71</v>
      </c>
      <c r="Q275" t="s">
        <v>30</v>
      </c>
      <c r="R275" t="s">
        <v>42</v>
      </c>
      <c r="S275">
        <v>2</v>
      </c>
      <c r="T275" t="s">
        <v>131</v>
      </c>
    </row>
    <row r="276" spans="1:20">
      <c r="A276">
        <v>275</v>
      </c>
      <c r="B276" s="14">
        <v>46000</v>
      </c>
      <c r="C276" t="s">
        <v>50</v>
      </c>
      <c r="D276" t="s">
        <v>126</v>
      </c>
      <c r="E276" t="s">
        <v>116</v>
      </c>
      <c r="F276" t="s">
        <v>44</v>
      </c>
      <c r="G276" t="s">
        <v>81</v>
      </c>
      <c r="H276" t="s">
        <v>73</v>
      </c>
      <c r="I276" t="s">
        <v>74</v>
      </c>
      <c r="J276" t="s">
        <v>27</v>
      </c>
      <c r="K276">
        <v>42</v>
      </c>
      <c r="L276">
        <v>35.79</v>
      </c>
      <c r="M276">
        <v>0</v>
      </c>
      <c r="N276" s="15">
        <f t="shared" si="4"/>
        <v>1503.18</v>
      </c>
      <c r="O276" t="s">
        <v>54</v>
      </c>
      <c r="P276" t="s">
        <v>132</v>
      </c>
      <c r="Q276" t="s">
        <v>76</v>
      </c>
      <c r="R276" t="s">
        <v>42</v>
      </c>
      <c r="S276">
        <v>5</v>
      </c>
      <c r="T276" t="s">
        <v>131</v>
      </c>
    </row>
    <row r="277" spans="1:20">
      <c r="A277">
        <v>276</v>
      </c>
      <c r="B277" s="14">
        <v>45845</v>
      </c>
      <c r="C277" t="s">
        <v>33</v>
      </c>
      <c r="D277" t="s">
        <v>124</v>
      </c>
      <c r="E277" t="s">
        <v>52</v>
      </c>
      <c r="F277" t="s">
        <v>91</v>
      </c>
      <c r="G277" t="s">
        <v>45</v>
      </c>
      <c r="H277" t="s">
        <v>73</v>
      </c>
      <c r="I277" t="s">
        <v>26</v>
      </c>
      <c r="J277" t="s">
        <v>63</v>
      </c>
      <c r="K277">
        <v>23</v>
      </c>
      <c r="L277">
        <v>82.64</v>
      </c>
      <c r="M277">
        <v>10</v>
      </c>
      <c r="N277" s="15">
        <f t="shared" si="4"/>
        <v>1900.72</v>
      </c>
      <c r="O277" t="s">
        <v>28</v>
      </c>
      <c r="P277" t="s">
        <v>71</v>
      </c>
      <c r="Q277" t="s">
        <v>30</v>
      </c>
      <c r="R277" t="s">
        <v>42</v>
      </c>
      <c r="S277">
        <v>2</v>
      </c>
      <c r="T277" t="s">
        <v>131</v>
      </c>
    </row>
    <row r="278" spans="1:20">
      <c r="A278">
        <v>277</v>
      </c>
      <c r="B278" s="14">
        <v>45742</v>
      </c>
      <c r="C278" t="s">
        <v>50</v>
      </c>
      <c r="D278" t="s">
        <v>124</v>
      </c>
      <c r="E278" t="s">
        <v>111</v>
      </c>
      <c r="F278" t="s">
        <v>130</v>
      </c>
      <c r="G278" t="s">
        <v>45</v>
      </c>
      <c r="H278" t="s">
        <v>25</v>
      </c>
      <c r="I278" t="s">
        <v>26</v>
      </c>
      <c r="J278" t="s">
        <v>39</v>
      </c>
      <c r="K278">
        <v>11</v>
      </c>
      <c r="L278">
        <v>39.41</v>
      </c>
      <c r="M278">
        <v>0</v>
      </c>
      <c r="N278" s="15">
        <f t="shared" si="4"/>
        <v>433.51</v>
      </c>
      <c r="O278" t="s">
        <v>40</v>
      </c>
      <c r="P278" t="s">
        <v>71</v>
      </c>
      <c r="Q278" t="s">
        <v>30</v>
      </c>
      <c r="R278" t="s">
        <v>42</v>
      </c>
      <c r="S278">
        <v>1</v>
      </c>
      <c r="T278" t="s">
        <v>131</v>
      </c>
    </row>
    <row r="279" spans="1:20">
      <c r="A279">
        <v>278</v>
      </c>
      <c r="B279" s="14">
        <v>46003</v>
      </c>
      <c r="C279" t="s">
        <v>85</v>
      </c>
      <c r="D279" t="s">
        <v>133</v>
      </c>
      <c r="E279" t="s">
        <v>110</v>
      </c>
      <c r="F279" t="s">
        <v>91</v>
      </c>
      <c r="G279" t="s">
        <v>24</v>
      </c>
      <c r="H279" t="s">
        <v>73</v>
      </c>
      <c r="I279" t="s">
        <v>74</v>
      </c>
      <c r="J279" t="s">
        <v>39</v>
      </c>
      <c r="K279">
        <v>3</v>
      </c>
      <c r="L279">
        <v>17.15</v>
      </c>
      <c r="M279">
        <v>0</v>
      </c>
      <c r="N279" s="15">
        <f t="shared" si="4"/>
        <v>51.45</v>
      </c>
      <c r="O279" t="s">
        <v>40</v>
      </c>
      <c r="P279" t="s">
        <v>64</v>
      </c>
      <c r="Q279" t="s">
        <v>30</v>
      </c>
      <c r="R279" t="s">
        <v>42</v>
      </c>
      <c r="S279">
        <v>2</v>
      </c>
      <c r="T279" t="s">
        <v>131</v>
      </c>
    </row>
    <row r="280" spans="1:20">
      <c r="A280">
        <v>279</v>
      </c>
      <c r="B280" s="14">
        <v>45743</v>
      </c>
      <c r="C280" t="s">
        <v>60</v>
      </c>
      <c r="D280" t="s">
        <v>61</v>
      </c>
      <c r="E280" t="s">
        <v>99</v>
      </c>
      <c r="F280" t="s">
        <v>44</v>
      </c>
      <c r="G280" t="s">
        <v>68</v>
      </c>
      <c r="H280" t="s">
        <v>58</v>
      </c>
      <c r="I280" t="s">
        <v>74</v>
      </c>
      <c r="J280" t="s">
        <v>48</v>
      </c>
      <c r="K280">
        <v>6</v>
      </c>
      <c r="L280">
        <v>25.58</v>
      </c>
      <c r="M280">
        <v>0</v>
      </c>
      <c r="N280" s="15">
        <f t="shared" si="4"/>
        <v>153.48</v>
      </c>
      <c r="O280" t="s">
        <v>28</v>
      </c>
      <c r="P280" t="s">
        <v>71</v>
      </c>
      <c r="Q280" t="s">
        <v>76</v>
      </c>
      <c r="R280" t="s">
        <v>31</v>
      </c>
      <c r="S280">
        <v>4</v>
      </c>
      <c r="T280" t="s">
        <v>125</v>
      </c>
    </row>
    <row r="281" spans="1:20">
      <c r="A281">
        <v>280</v>
      </c>
      <c r="B281" s="14">
        <v>45956</v>
      </c>
      <c r="C281" t="s">
        <v>50</v>
      </c>
      <c r="D281" t="s">
        <v>61</v>
      </c>
      <c r="E281" t="s">
        <v>92</v>
      </c>
      <c r="F281" t="s">
        <v>91</v>
      </c>
      <c r="G281" t="s">
        <v>128</v>
      </c>
      <c r="H281" t="s">
        <v>58</v>
      </c>
      <c r="I281" t="s">
        <v>53</v>
      </c>
      <c r="J281" t="s">
        <v>39</v>
      </c>
      <c r="K281">
        <v>47</v>
      </c>
      <c r="L281">
        <v>70.13</v>
      </c>
      <c r="M281">
        <v>15</v>
      </c>
      <c r="N281" s="15">
        <f t="shared" si="4"/>
        <v>3296.11</v>
      </c>
      <c r="O281" t="s">
        <v>28</v>
      </c>
      <c r="P281" t="s">
        <v>64</v>
      </c>
      <c r="Q281" t="s">
        <v>76</v>
      </c>
      <c r="R281" t="s">
        <v>42</v>
      </c>
      <c r="S281">
        <v>2</v>
      </c>
      <c r="T281" t="s">
        <v>131</v>
      </c>
    </row>
    <row r="282" spans="1:20">
      <c r="A282">
        <v>281</v>
      </c>
      <c r="B282" s="14">
        <v>45666</v>
      </c>
      <c r="C282" t="s">
        <v>50</v>
      </c>
      <c r="D282" t="s">
        <v>126</v>
      </c>
      <c r="E282" t="s">
        <v>111</v>
      </c>
      <c r="F282" t="s">
        <v>130</v>
      </c>
      <c r="G282" t="s">
        <v>81</v>
      </c>
      <c r="H282" t="s">
        <v>25</v>
      </c>
      <c r="I282" t="s">
        <v>47</v>
      </c>
      <c r="J282" t="s">
        <v>27</v>
      </c>
      <c r="K282">
        <v>12</v>
      </c>
      <c r="L282">
        <v>50.21</v>
      </c>
      <c r="M282">
        <v>0</v>
      </c>
      <c r="N282" s="15">
        <f t="shared" si="4"/>
        <v>602.52</v>
      </c>
      <c r="O282" t="s">
        <v>28</v>
      </c>
      <c r="P282" t="s">
        <v>71</v>
      </c>
      <c r="Q282" t="s">
        <v>30</v>
      </c>
      <c r="R282" t="s">
        <v>42</v>
      </c>
      <c r="S282">
        <v>3</v>
      </c>
      <c r="T282" t="s">
        <v>125</v>
      </c>
    </row>
    <row r="283" spans="1:20">
      <c r="A283">
        <v>282</v>
      </c>
      <c r="B283" s="14">
        <v>45966</v>
      </c>
      <c r="C283" t="s">
        <v>33</v>
      </c>
      <c r="D283" t="s">
        <v>61</v>
      </c>
      <c r="E283" t="s">
        <v>78</v>
      </c>
      <c r="F283" t="s">
        <v>130</v>
      </c>
      <c r="G283" t="s">
        <v>128</v>
      </c>
      <c r="H283" t="s">
        <v>73</v>
      </c>
      <c r="I283" t="s">
        <v>47</v>
      </c>
      <c r="J283" t="s">
        <v>63</v>
      </c>
      <c r="K283">
        <v>24</v>
      </c>
      <c r="L283">
        <v>88.11</v>
      </c>
      <c r="M283">
        <v>0</v>
      </c>
      <c r="N283" s="15">
        <f t="shared" si="4"/>
        <v>2114.64</v>
      </c>
      <c r="O283" t="s">
        <v>28</v>
      </c>
      <c r="P283" t="s">
        <v>64</v>
      </c>
      <c r="Q283" t="s">
        <v>76</v>
      </c>
      <c r="R283" t="s">
        <v>42</v>
      </c>
      <c r="S283">
        <v>3</v>
      </c>
      <c r="T283" t="s">
        <v>131</v>
      </c>
    </row>
    <row r="284" spans="1:20">
      <c r="A284">
        <v>283</v>
      </c>
      <c r="B284" s="14">
        <v>45875</v>
      </c>
      <c r="C284" t="s">
        <v>50</v>
      </c>
      <c r="D284" t="s">
        <v>129</v>
      </c>
      <c r="E284" t="s">
        <v>115</v>
      </c>
      <c r="F284" t="s">
        <v>91</v>
      </c>
      <c r="G284" t="s">
        <v>88</v>
      </c>
      <c r="H284" t="s">
        <v>46</v>
      </c>
      <c r="I284" t="s">
        <v>47</v>
      </c>
      <c r="J284" t="s">
        <v>63</v>
      </c>
      <c r="K284">
        <v>17</v>
      </c>
      <c r="L284">
        <v>22.96</v>
      </c>
      <c r="M284">
        <v>0</v>
      </c>
      <c r="N284" s="15">
        <f t="shared" si="4"/>
        <v>390.32</v>
      </c>
      <c r="O284" t="s">
        <v>28</v>
      </c>
      <c r="P284" t="s">
        <v>71</v>
      </c>
      <c r="Q284" t="s">
        <v>76</v>
      </c>
      <c r="R284" t="s">
        <v>42</v>
      </c>
      <c r="S284">
        <v>2</v>
      </c>
      <c r="T284" t="s">
        <v>127</v>
      </c>
    </row>
    <row r="285" spans="1:20">
      <c r="A285">
        <v>284</v>
      </c>
      <c r="B285" s="14">
        <v>45867</v>
      </c>
      <c r="C285" t="s">
        <v>60</v>
      </c>
      <c r="D285" t="s">
        <v>124</v>
      </c>
      <c r="E285" t="s">
        <v>90</v>
      </c>
      <c r="F285" t="s">
        <v>44</v>
      </c>
      <c r="G285" t="s">
        <v>128</v>
      </c>
      <c r="H285" t="s">
        <v>58</v>
      </c>
      <c r="I285" t="s">
        <v>53</v>
      </c>
      <c r="J285" t="s">
        <v>48</v>
      </c>
      <c r="K285">
        <v>35</v>
      </c>
      <c r="L285">
        <v>45.24</v>
      </c>
      <c r="M285">
        <v>10</v>
      </c>
      <c r="N285" s="15">
        <f t="shared" si="4"/>
        <v>1583.4</v>
      </c>
      <c r="O285" t="s">
        <v>54</v>
      </c>
      <c r="P285" t="s">
        <v>71</v>
      </c>
      <c r="Q285" t="s">
        <v>76</v>
      </c>
      <c r="R285" t="s">
        <v>42</v>
      </c>
      <c r="S285">
        <v>5</v>
      </c>
      <c r="T285" t="s">
        <v>131</v>
      </c>
    </row>
    <row r="286" spans="1:20">
      <c r="A286">
        <v>285</v>
      </c>
      <c r="B286" s="14">
        <v>45749</v>
      </c>
      <c r="C286" t="s">
        <v>60</v>
      </c>
      <c r="D286" t="s">
        <v>126</v>
      </c>
      <c r="E286" t="s">
        <v>96</v>
      </c>
      <c r="F286" t="s">
        <v>44</v>
      </c>
      <c r="G286" t="s">
        <v>45</v>
      </c>
      <c r="H286" t="s">
        <v>46</v>
      </c>
      <c r="I286" t="s">
        <v>47</v>
      </c>
      <c r="J286" t="s">
        <v>48</v>
      </c>
      <c r="K286">
        <v>50</v>
      </c>
      <c r="L286">
        <v>72.02</v>
      </c>
      <c r="M286">
        <v>5</v>
      </c>
      <c r="N286" s="15">
        <f t="shared" si="4"/>
        <v>3601</v>
      </c>
      <c r="O286" t="s">
        <v>28</v>
      </c>
      <c r="P286" t="s">
        <v>64</v>
      </c>
      <c r="Q286" t="s">
        <v>76</v>
      </c>
      <c r="R286" t="s">
        <v>42</v>
      </c>
      <c r="S286">
        <v>2</v>
      </c>
      <c r="T286" t="s">
        <v>131</v>
      </c>
    </row>
    <row r="287" spans="1:20">
      <c r="A287">
        <v>286</v>
      </c>
      <c r="B287" s="14">
        <v>45767</v>
      </c>
      <c r="C287" t="s">
        <v>33</v>
      </c>
      <c r="D287" t="s">
        <v>133</v>
      </c>
      <c r="E287" t="s">
        <v>82</v>
      </c>
      <c r="F287" t="s">
        <v>91</v>
      </c>
      <c r="G287" t="s">
        <v>68</v>
      </c>
      <c r="H287" t="s">
        <v>58</v>
      </c>
      <c r="I287" t="s">
        <v>26</v>
      </c>
      <c r="J287" t="s">
        <v>63</v>
      </c>
      <c r="K287">
        <v>41</v>
      </c>
      <c r="L287">
        <v>5.5</v>
      </c>
      <c r="M287">
        <v>0</v>
      </c>
      <c r="N287" s="15">
        <f t="shared" si="4"/>
        <v>225.5</v>
      </c>
      <c r="O287" t="s">
        <v>40</v>
      </c>
      <c r="P287" t="s">
        <v>71</v>
      </c>
      <c r="Q287" t="s">
        <v>76</v>
      </c>
      <c r="R287" t="s">
        <v>31</v>
      </c>
      <c r="S287">
        <v>1</v>
      </c>
      <c r="T287" t="s">
        <v>127</v>
      </c>
    </row>
    <row r="288" spans="1:20">
      <c r="A288">
        <v>287</v>
      </c>
      <c r="B288" s="14">
        <v>45771</v>
      </c>
      <c r="C288" t="s">
        <v>60</v>
      </c>
      <c r="D288" t="s">
        <v>124</v>
      </c>
      <c r="E288" t="s">
        <v>95</v>
      </c>
      <c r="F288" t="s">
        <v>44</v>
      </c>
      <c r="G288" t="s">
        <v>128</v>
      </c>
      <c r="H288" t="s">
        <v>73</v>
      </c>
      <c r="I288" t="s">
        <v>38</v>
      </c>
      <c r="J288" t="s">
        <v>48</v>
      </c>
      <c r="K288">
        <v>46</v>
      </c>
      <c r="L288">
        <v>96.54</v>
      </c>
      <c r="M288">
        <v>0</v>
      </c>
      <c r="N288" s="15">
        <f t="shared" si="4"/>
        <v>4440.84</v>
      </c>
      <c r="O288" t="s">
        <v>40</v>
      </c>
      <c r="P288" t="s">
        <v>71</v>
      </c>
      <c r="Q288" t="s">
        <v>76</v>
      </c>
      <c r="R288" t="s">
        <v>31</v>
      </c>
      <c r="S288">
        <v>2</v>
      </c>
      <c r="T288" t="s">
        <v>127</v>
      </c>
    </row>
    <row r="289" spans="1:20">
      <c r="A289">
        <v>288</v>
      </c>
      <c r="B289" s="14">
        <v>45757</v>
      </c>
      <c r="C289" t="s">
        <v>20</v>
      </c>
      <c r="D289" t="s">
        <v>61</v>
      </c>
      <c r="E289" t="s">
        <v>95</v>
      </c>
      <c r="F289" t="s">
        <v>91</v>
      </c>
      <c r="G289" t="s">
        <v>68</v>
      </c>
      <c r="H289" t="s">
        <v>25</v>
      </c>
      <c r="I289" t="s">
        <v>47</v>
      </c>
      <c r="J289" t="s">
        <v>39</v>
      </c>
      <c r="K289">
        <v>44</v>
      </c>
      <c r="L289">
        <v>8.43</v>
      </c>
      <c r="M289">
        <v>5</v>
      </c>
      <c r="N289" s="15">
        <f t="shared" si="4"/>
        <v>370.92</v>
      </c>
      <c r="O289" t="s">
        <v>28</v>
      </c>
      <c r="P289" t="s">
        <v>64</v>
      </c>
      <c r="Q289" t="s">
        <v>30</v>
      </c>
      <c r="R289" t="s">
        <v>42</v>
      </c>
      <c r="S289">
        <v>4</v>
      </c>
      <c r="T289" t="s">
        <v>127</v>
      </c>
    </row>
    <row r="290" spans="1:20">
      <c r="A290">
        <v>289</v>
      </c>
      <c r="B290" s="14">
        <v>46000</v>
      </c>
      <c r="C290" t="s">
        <v>85</v>
      </c>
      <c r="D290" t="s">
        <v>133</v>
      </c>
      <c r="E290" t="s">
        <v>98</v>
      </c>
      <c r="F290" t="s">
        <v>91</v>
      </c>
      <c r="G290" t="s">
        <v>68</v>
      </c>
      <c r="H290" t="s">
        <v>58</v>
      </c>
      <c r="I290" t="s">
        <v>74</v>
      </c>
      <c r="J290" t="s">
        <v>27</v>
      </c>
      <c r="K290">
        <v>36</v>
      </c>
      <c r="L290">
        <v>32.03</v>
      </c>
      <c r="M290">
        <v>0</v>
      </c>
      <c r="N290" s="15">
        <f t="shared" si="4"/>
        <v>1153.08</v>
      </c>
      <c r="O290" t="s">
        <v>54</v>
      </c>
      <c r="P290" t="s">
        <v>132</v>
      </c>
      <c r="Q290" t="s">
        <v>30</v>
      </c>
      <c r="R290" t="s">
        <v>31</v>
      </c>
      <c r="S290">
        <v>5</v>
      </c>
      <c r="T290" t="s">
        <v>125</v>
      </c>
    </row>
    <row r="291" spans="1:20">
      <c r="A291">
        <v>290</v>
      </c>
      <c r="B291" s="14">
        <v>45890</v>
      </c>
      <c r="C291" t="s">
        <v>85</v>
      </c>
      <c r="D291" t="s">
        <v>126</v>
      </c>
      <c r="E291" t="s">
        <v>78</v>
      </c>
      <c r="F291" t="s">
        <v>23</v>
      </c>
      <c r="G291" t="s">
        <v>24</v>
      </c>
      <c r="H291" t="s">
        <v>73</v>
      </c>
      <c r="I291" t="s">
        <v>47</v>
      </c>
      <c r="J291" t="s">
        <v>27</v>
      </c>
      <c r="K291">
        <v>36</v>
      </c>
      <c r="L291">
        <v>11.88</v>
      </c>
      <c r="M291">
        <v>10</v>
      </c>
      <c r="N291" s="15">
        <f t="shared" si="4"/>
        <v>427.68</v>
      </c>
      <c r="O291" t="s">
        <v>54</v>
      </c>
      <c r="P291" t="s">
        <v>71</v>
      </c>
      <c r="Q291" t="s">
        <v>30</v>
      </c>
      <c r="R291" t="s">
        <v>42</v>
      </c>
      <c r="S291">
        <v>5</v>
      </c>
      <c r="T291" t="s">
        <v>127</v>
      </c>
    </row>
    <row r="292" spans="1:20">
      <c r="A292">
        <v>291</v>
      </c>
      <c r="B292" s="14">
        <v>46013</v>
      </c>
      <c r="C292" t="s">
        <v>85</v>
      </c>
      <c r="D292" t="s">
        <v>133</v>
      </c>
      <c r="E292" t="s">
        <v>100</v>
      </c>
      <c r="F292" t="s">
        <v>44</v>
      </c>
      <c r="G292" t="s">
        <v>24</v>
      </c>
      <c r="H292" t="s">
        <v>46</v>
      </c>
      <c r="I292" t="s">
        <v>38</v>
      </c>
      <c r="J292" t="s">
        <v>63</v>
      </c>
      <c r="K292">
        <v>38</v>
      </c>
      <c r="L292">
        <v>86.89</v>
      </c>
      <c r="M292">
        <v>15</v>
      </c>
      <c r="N292" s="15">
        <f t="shared" si="4"/>
        <v>3301.82</v>
      </c>
      <c r="O292" t="s">
        <v>28</v>
      </c>
      <c r="P292" t="s">
        <v>132</v>
      </c>
      <c r="Q292" t="s">
        <v>30</v>
      </c>
      <c r="R292" t="s">
        <v>42</v>
      </c>
      <c r="S292">
        <v>5</v>
      </c>
      <c r="T292" t="s">
        <v>125</v>
      </c>
    </row>
    <row r="293" spans="1:20">
      <c r="A293">
        <v>292</v>
      </c>
      <c r="B293" s="14">
        <v>46004</v>
      </c>
      <c r="C293" t="s">
        <v>20</v>
      </c>
      <c r="D293" t="s">
        <v>61</v>
      </c>
      <c r="E293" t="s">
        <v>108</v>
      </c>
      <c r="F293" t="s">
        <v>44</v>
      </c>
      <c r="G293" t="s">
        <v>45</v>
      </c>
      <c r="H293" t="s">
        <v>58</v>
      </c>
      <c r="I293" t="s">
        <v>47</v>
      </c>
      <c r="J293" t="s">
        <v>27</v>
      </c>
      <c r="K293">
        <v>45</v>
      </c>
      <c r="L293">
        <v>84.06</v>
      </c>
      <c r="M293">
        <v>5</v>
      </c>
      <c r="N293" s="15">
        <f t="shared" si="4"/>
        <v>3782.7</v>
      </c>
      <c r="O293" t="s">
        <v>54</v>
      </c>
      <c r="P293" t="s">
        <v>71</v>
      </c>
      <c r="Q293" t="s">
        <v>76</v>
      </c>
      <c r="R293" t="s">
        <v>42</v>
      </c>
      <c r="S293">
        <v>5</v>
      </c>
      <c r="T293" t="s">
        <v>127</v>
      </c>
    </row>
    <row r="294" spans="1:20">
      <c r="A294">
        <v>293</v>
      </c>
      <c r="B294" s="14">
        <v>45696</v>
      </c>
      <c r="C294" t="s">
        <v>33</v>
      </c>
      <c r="D294" t="s">
        <v>61</v>
      </c>
      <c r="E294" t="s">
        <v>115</v>
      </c>
      <c r="F294" t="s">
        <v>23</v>
      </c>
      <c r="G294" t="s">
        <v>45</v>
      </c>
      <c r="H294" t="s">
        <v>25</v>
      </c>
      <c r="I294" t="s">
        <v>47</v>
      </c>
      <c r="J294" t="s">
        <v>48</v>
      </c>
      <c r="K294">
        <v>12</v>
      </c>
      <c r="L294">
        <v>94.98</v>
      </c>
      <c r="M294">
        <v>5</v>
      </c>
      <c r="N294" s="15">
        <f t="shared" si="4"/>
        <v>1139.76</v>
      </c>
      <c r="O294" t="s">
        <v>28</v>
      </c>
      <c r="P294" t="s">
        <v>64</v>
      </c>
      <c r="Q294" t="s">
        <v>76</v>
      </c>
      <c r="R294" t="s">
        <v>42</v>
      </c>
      <c r="S294">
        <v>2</v>
      </c>
      <c r="T294" t="s">
        <v>127</v>
      </c>
    </row>
    <row r="295" spans="1:20">
      <c r="A295">
        <v>294</v>
      </c>
      <c r="B295" s="14">
        <v>45763</v>
      </c>
      <c r="C295" t="s">
        <v>50</v>
      </c>
      <c r="D295" t="s">
        <v>61</v>
      </c>
      <c r="E295" t="s">
        <v>67</v>
      </c>
      <c r="F295" t="s">
        <v>91</v>
      </c>
      <c r="G295" t="s">
        <v>45</v>
      </c>
      <c r="H295" t="s">
        <v>25</v>
      </c>
      <c r="I295" t="s">
        <v>74</v>
      </c>
      <c r="J295" t="s">
        <v>27</v>
      </c>
      <c r="K295">
        <v>6</v>
      </c>
      <c r="L295">
        <v>69.2</v>
      </c>
      <c r="M295">
        <v>15</v>
      </c>
      <c r="N295" s="15">
        <f t="shared" si="4"/>
        <v>415.2</v>
      </c>
      <c r="O295" t="s">
        <v>28</v>
      </c>
      <c r="P295" t="s">
        <v>71</v>
      </c>
      <c r="Q295" t="s">
        <v>76</v>
      </c>
      <c r="R295" t="s">
        <v>42</v>
      </c>
      <c r="S295">
        <v>5</v>
      </c>
      <c r="T295" t="s">
        <v>127</v>
      </c>
    </row>
    <row r="296" spans="1:20">
      <c r="A296">
        <v>295</v>
      </c>
      <c r="B296" s="14">
        <v>45910</v>
      </c>
      <c r="C296" t="s">
        <v>33</v>
      </c>
      <c r="D296" t="s">
        <v>61</v>
      </c>
      <c r="E296" t="s">
        <v>86</v>
      </c>
      <c r="F296" t="s">
        <v>44</v>
      </c>
      <c r="G296" t="s">
        <v>24</v>
      </c>
      <c r="H296" t="s">
        <v>58</v>
      </c>
      <c r="I296" t="s">
        <v>53</v>
      </c>
      <c r="J296" t="s">
        <v>63</v>
      </c>
      <c r="K296">
        <v>15</v>
      </c>
      <c r="L296">
        <v>76.27</v>
      </c>
      <c r="M296">
        <v>5</v>
      </c>
      <c r="N296" s="15">
        <f t="shared" si="4"/>
        <v>1144.05</v>
      </c>
      <c r="O296" t="s">
        <v>28</v>
      </c>
      <c r="P296" t="s">
        <v>71</v>
      </c>
      <c r="Q296" t="s">
        <v>76</v>
      </c>
      <c r="R296" t="s">
        <v>42</v>
      </c>
      <c r="S296">
        <v>1</v>
      </c>
      <c r="T296" t="s">
        <v>127</v>
      </c>
    </row>
    <row r="297" spans="1:20">
      <c r="A297">
        <v>296</v>
      </c>
      <c r="B297" s="14">
        <v>45859</v>
      </c>
      <c r="C297" t="s">
        <v>50</v>
      </c>
      <c r="D297" t="s">
        <v>124</v>
      </c>
      <c r="E297" t="s">
        <v>62</v>
      </c>
      <c r="F297" t="s">
        <v>91</v>
      </c>
      <c r="G297" t="s">
        <v>81</v>
      </c>
      <c r="H297" t="s">
        <v>58</v>
      </c>
      <c r="I297" t="s">
        <v>47</v>
      </c>
      <c r="J297" t="s">
        <v>63</v>
      </c>
      <c r="K297">
        <v>21</v>
      </c>
      <c r="L297">
        <v>70.48</v>
      </c>
      <c r="M297">
        <v>0</v>
      </c>
      <c r="N297" s="15">
        <f t="shared" si="4"/>
        <v>1480.08</v>
      </c>
      <c r="O297" t="s">
        <v>40</v>
      </c>
      <c r="P297" t="s">
        <v>71</v>
      </c>
      <c r="Q297" t="s">
        <v>30</v>
      </c>
      <c r="R297" t="s">
        <v>42</v>
      </c>
      <c r="S297">
        <v>3</v>
      </c>
      <c r="T297" t="s">
        <v>127</v>
      </c>
    </row>
    <row r="298" spans="1:20">
      <c r="A298">
        <v>297</v>
      </c>
      <c r="B298" s="14">
        <v>45753</v>
      </c>
      <c r="C298" t="s">
        <v>33</v>
      </c>
      <c r="D298" t="s">
        <v>129</v>
      </c>
      <c r="E298" t="s">
        <v>67</v>
      </c>
      <c r="F298" t="s">
        <v>23</v>
      </c>
      <c r="G298" t="s">
        <v>81</v>
      </c>
      <c r="H298" t="s">
        <v>58</v>
      </c>
      <c r="I298" t="s">
        <v>53</v>
      </c>
      <c r="J298" t="s">
        <v>48</v>
      </c>
      <c r="K298">
        <v>12</v>
      </c>
      <c r="L298">
        <v>52.38</v>
      </c>
      <c r="M298">
        <v>5</v>
      </c>
      <c r="N298" s="15">
        <f t="shared" si="4"/>
        <v>628.56</v>
      </c>
      <c r="O298" t="s">
        <v>28</v>
      </c>
      <c r="P298" t="s">
        <v>132</v>
      </c>
      <c r="Q298" t="s">
        <v>30</v>
      </c>
      <c r="R298" t="s">
        <v>42</v>
      </c>
      <c r="S298">
        <v>3</v>
      </c>
      <c r="T298" t="s">
        <v>131</v>
      </c>
    </row>
    <row r="299" spans="1:20">
      <c r="A299">
        <v>298</v>
      </c>
      <c r="B299" s="14">
        <v>45750</v>
      </c>
      <c r="C299" t="s">
        <v>33</v>
      </c>
      <c r="D299" t="s">
        <v>61</v>
      </c>
      <c r="E299" t="s">
        <v>100</v>
      </c>
      <c r="F299" t="s">
        <v>130</v>
      </c>
      <c r="G299" t="s">
        <v>24</v>
      </c>
      <c r="H299" t="s">
        <v>58</v>
      </c>
      <c r="I299" t="s">
        <v>53</v>
      </c>
      <c r="J299" t="s">
        <v>39</v>
      </c>
      <c r="K299">
        <v>36</v>
      </c>
      <c r="L299">
        <v>46.06</v>
      </c>
      <c r="M299">
        <v>15</v>
      </c>
      <c r="N299" s="15">
        <f t="shared" si="4"/>
        <v>1658.16</v>
      </c>
      <c r="O299" t="s">
        <v>40</v>
      </c>
      <c r="P299" t="s">
        <v>64</v>
      </c>
      <c r="Q299" t="s">
        <v>76</v>
      </c>
      <c r="R299" t="s">
        <v>42</v>
      </c>
      <c r="S299">
        <v>1</v>
      </c>
      <c r="T299" t="s">
        <v>125</v>
      </c>
    </row>
    <row r="300" spans="1:20">
      <c r="A300">
        <v>299</v>
      </c>
      <c r="B300" s="14">
        <v>45873</v>
      </c>
      <c r="C300" t="s">
        <v>85</v>
      </c>
      <c r="D300" t="s">
        <v>61</v>
      </c>
      <c r="E300" t="s">
        <v>104</v>
      </c>
      <c r="F300" t="s">
        <v>91</v>
      </c>
      <c r="G300" t="s">
        <v>68</v>
      </c>
      <c r="H300" t="s">
        <v>46</v>
      </c>
      <c r="I300" t="s">
        <v>38</v>
      </c>
      <c r="J300" t="s">
        <v>48</v>
      </c>
      <c r="K300">
        <v>17</v>
      </c>
      <c r="L300">
        <v>58.4</v>
      </c>
      <c r="M300">
        <v>0</v>
      </c>
      <c r="N300" s="15">
        <f t="shared" si="4"/>
        <v>992.8</v>
      </c>
      <c r="O300" t="s">
        <v>28</v>
      </c>
      <c r="P300" t="s">
        <v>71</v>
      </c>
      <c r="Q300" t="s">
        <v>30</v>
      </c>
      <c r="R300" t="s">
        <v>42</v>
      </c>
      <c r="S300">
        <v>2</v>
      </c>
      <c r="T300" t="s">
        <v>131</v>
      </c>
    </row>
    <row r="301" spans="1:20">
      <c r="A301">
        <v>300</v>
      </c>
      <c r="B301" s="14">
        <v>45768</v>
      </c>
      <c r="C301" t="s">
        <v>50</v>
      </c>
      <c r="D301" t="s">
        <v>129</v>
      </c>
      <c r="E301" t="s">
        <v>115</v>
      </c>
      <c r="F301" t="s">
        <v>130</v>
      </c>
      <c r="G301" t="s">
        <v>88</v>
      </c>
      <c r="H301" t="s">
        <v>73</v>
      </c>
      <c r="I301" t="s">
        <v>53</v>
      </c>
      <c r="J301" t="s">
        <v>48</v>
      </c>
      <c r="K301">
        <v>24</v>
      </c>
      <c r="L301">
        <v>39.23</v>
      </c>
      <c r="M301">
        <v>0</v>
      </c>
      <c r="N301" s="15">
        <f t="shared" si="4"/>
        <v>941.52</v>
      </c>
      <c r="O301" t="s">
        <v>54</v>
      </c>
      <c r="P301" t="s">
        <v>132</v>
      </c>
      <c r="Q301" t="s">
        <v>30</v>
      </c>
      <c r="R301" t="s">
        <v>42</v>
      </c>
      <c r="S301">
        <v>1</v>
      </c>
      <c r="T301" t="s">
        <v>127</v>
      </c>
    </row>
    <row r="302" spans="1:20">
      <c r="A302">
        <v>301</v>
      </c>
      <c r="B302" s="14">
        <v>46005</v>
      </c>
      <c r="C302" t="s">
        <v>33</v>
      </c>
      <c r="D302" t="s">
        <v>61</v>
      </c>
      <c r="E302" t="s">
        <v>100</v>
      </c>
      <c r="F302" t="s">
        <v>91</v>
      </c>
      <c r="G302" t="s">
        <v>128</v>
      </c>
      <c r="H302" t="s">
        <v>58</v>
      </c>
      <c r="I302" t="s">
        <v>26</v>
      </c>
      <c r="J302" t="s">
        <v>48</v>
      </c>
      <c r="K302">
        <v>23</v>
      </c>
      <c r="L302">
        <v>35.88</v>
      </c>
      <c r="M302">
        <v>0</v>
      </c>
      <c r="N302" s="15">
        <f t="shared" si="4"/>
        <v>825.24</v>
      </c>
      <c r="O302" t="s">
        <v>28</v>
      </c>
      <c r="P302" t="s">
        <v>71</v>
      </c>
      <c r="Q302" t="s">
        <v>30</v>
      </c>
      <c r="R302" t="s">
        <v>42</v>
      </c>
      <c r="S302">
        <v>5</v>
      </c>
      <c r="T302" t="s">
        <v>127</v>
      </c>
    </row>
    <row r="303" spans="1:20">
      <c r="A303">
        <v>302</v>
      </c>
      <c r="B303" s="14">
        <v>45895</v>
      </c>
      <c r="C303" t="s">
        <v>20</v>
      </c>
      <c r="D303" t="s">
        <v>61</v>
      </c>
      <c r="E303" t="s">
        <v>120</v>
      </c>
      <c r="F303" t="s">
        <v>130</v>
      </c>
      <c r="G303" t="s">
        <v>45</v>
      </c>
      <c r="H303" t="s">
        <v>73</v>
      </c>
      <c r="I303" t="s">
        <v>47</v>
      </c>
      <c r="J303" t="s">
        <v>63</v>
      </c>
      <c r="K303">
        <v>5</v>
      </c>
      <c r="L303">
        <v>12.52</v>
      </c>
      <c r="M303">
        <v>10</v>
      </c>
      <c r="N303" s="15">
        <f t="shared" si="4"/>
        <v>62.6</v>
      </c>
      <c r="O303" t="s">
        <v>40</v>
      </c>
      <c r="P303" t="s">
        <v>132</v>
      </c>
      <c r="Q303" t="s">
        <v>30</v>
      </c>
      <c r="R303" t="s">
        <v>42</v>
      </c>
      <c r="S303">
        <v>3</v>
      </c>
      <c r="T303" t="s">
        <v>127</v>
      </c>
    </row>
    <row r="304" spans="1:20">
      <c r="A304">
        <v>303</v>
      </c>
      <c r="B304" s="14">
        <v>45967</v>
      </c>
      <c r="C304" t="s">
        <v>20</v>
      </c>
      <c r="D304" t="s">
        <v>133</v>
      </c>
      <c r="E304" t="s">
        <v>86</v>
      </c>
      <c r="F304" t="s">
        <v>44</v>
      </c>
      <c r="G304" t="s">
        <v>45</v>
      </c>
      <c r="H304" t="s">
        <v>58</v>
      </c>
      <c r="I304" t="s">
        <v>47</v>
      </c>
      <c r="J304" t="s">
        <v>63</v>
      </c>
      <c r="K304">
        <v>27</v>
      </c>
      <c r="L304">
        <v>20.9</v>
      </c>
      <c r="M304">
        <v>0</v>
      </c>
      <c r="N304" s="15">
        <f t="shared" si="4"/>
        <v>564.3</v>
      </c>
      <c r="O304" t="s">
        <v>40</v>
      </c>
      <c r="P304" t="s">
        <v>64</v>
      </c>
      <c r="Q304" t="s">
        <v>30</v>
      </c>
      <c r="R304" t="s">
        <v>42</v>
      </c>
      <c r="S304">
        <v>3</v>
      </c>
      <c r="T304" t="s">
        <v>131</v>
      </c>
    </row>
    <row r="305" spans="1:20">
      <c r="A305">
        <v>304</v>
      </c>
      <c r="B305" s="14">
        <v>45765</v>
      </c>
      <c r="C305" t="s">
        <v>50</v>
      </c>
      <c r="D305" t="s">
        <v>133</v>
      </c>
      <c r="E305" t="s">
        <v>106</v>
      </c>
      <c r="F305" t="s">
        <v>44</v>
      </c>
      <c r="G305" t="s">
        <v>88</v>
      </c>
      <c r="H305" t="s">
        <v>73</v>
      </c>
      <c r="I305" t="s">
        <v>47</v>
      </c>
      <c r="J305" t="s">
        <v>27</v>
      </c>
      <c r="K305">
        <v>2</v>
      </c>
      <c r="L305">
        <v>78.24</v>
      </c>
      <c r="M305">
        <v>0</v>
      </c>
      <c r="N305" s="15">
        <f t="shared" si="4"/>
        <v>156.48</v>
      </c>
      <c r="O305" t="s">
        <v>28</v>
      </c>
      <c r="P305" t="s">
        <v>71</v>
      </c>
      <c r="Q305" t="s">
        <v>30</v>
      </c>
      <c r="R305" t="s">
        <v>42</v>
      </c>
      <c r="S305">
        <v>2</v>
      </c>
      <c r="T305" t="s">
        <v>131</v>
      </c>
    </row>
    <row r="306" spans="1:20">
      <c r="A306">
        <v>305</v>
      </c>
      <c r="B306" s="14">
        <v>45993</v>
      </c>
      <c r="C306" t="s">
        <v>85</v>
      </c>
      <c r="D306" t="s">
        <v>129</v>
      </c>
      <c r="E306" t="s">
        <v>107</v>
      </c>
      <c r="F306" t="s">
        <v>91</v>
      </c>
      <c r="G306" t="s">
        <v>128</v>
      </c>
      <c r="H306" t="s">
        <v>46</v>
      </c>
      <c r="I306" t="s">
        <v>38</v>
      </c>
      <c r="J306" t="s">
        <v>39</v>
      </c>
      <c r="K306">
        <v>9</v>
      </c>
      <c r="L306">
        <v>55.04</v>
      </c>
      <c r="M306">
        <v>5</v>
      </c>
      <c r="N306" s="15">
        <f t="shared" si="4"/>
        <v>495.36</v>
      </c>
      <c r="O306" t="s">
        <v>28</v>
      </c>
      <c r="P306" t="s">
        <v>71</v>
      </c>
      <c r="Q306" t="s">
        <v>30</v>
      </c>
      <c r="R306" t="s">
        <v>42</v>
      </c>
      <c r="S306">
        <v>4</v>
      </c>
      <c r="T306" t="s">
        <v>131</v>
      </c>
    </row>
    <row r="307" spans="1:20">
      <c r="A307">
        <v>306</v>
      </c>
      <c r="B307" s="14">
        <v>45934</v>
      </c>
      <c r="C307" t="s">
        <v>60</v>
      </c>
      <c r="D307" t="s">
        <v>126</v>
      </c>
      <c r="E307" t="s">
        <v>80</v>
      </c>
      <c r="F307" t="s">
        <v>91</v>
      </c>
      <c r="G307" t="s">
        <v>128</v>
      </c>
      <c r="H307" t="s">
        <v>58</v>
      </c>
      <c r="I307" t="s">
        <v>26</v>
      </c>
      <c r="J307" t="s">
        <v>63</v>
      </c>
      <c r="K307">
        <v>41</v>
      </c>
      <c r="L307">
        <v>76.15</v>
      </c>
      <c r="M307">
        <v>0</v>
      </c>
      <c r="N307" s="15">
        <f t="shared" si="4"/>
        <v>3122.15</v>
      </c>
      <c r="O307" t="s">
        <v>28</v>
      </c>
      <c r="P307" t="s">
        <v>132</v>
      </c>
      <c r="Q307" t="s">
        <v>30</v>
      </c>
      <c r="R307" t="s">
        <v>42</v>
      </c>
      <c r="S307">
        <v>5</v>
      </c>
      <c r="T307" t="s">
        <v>125</v>
      </c>
    </row>
    <row r="308" spans="1:20">
      <c r="A308">
        <v>307</v>
      </c>
      <c r="B308" s="14">
        <v>45703</v>
      </c>
      <c r="C308" t="s">
        <v>85</v>
      </c>
      <c r="D308" t="s">
        <v>129</v>
      </c>
      <c r="E308" t="s">
        <v>116</v>
      </c>
      <c r="F308" t="s">
        <v>44</v>
      </c>
      <c r="G308" t="s">
        <v>45</v>
      </c>
      <c r="H308" t="s">
        <v>25</v>
      </c>
      <c r="I308" t="s">
        <v>53</v>
      </c>
      <c r="J308" t="s">
        <v>27</v>
      </c>
      <c r="K308">
        <v>1</v>
      </c>
      <c r="L308">
        <v>54.72</v>
      </c>
      <c r="M308">
        <v>5</v>
      </c>
      <c r="N308" s="15">
        <f t="shared" si="4"/>
        <v>54.72</v>
      </c>
      <c r="O308" t="s">
        <v>54</v>
      </c>
      <c r="P308" t="s">
        <v>132</v>
      </c>
      <c r="Q308" t="s">
        <v>76</v>
      </c>
      <c r="R308" t="s">
        <v>42</v>
      </c>
      <c r="S308">
        <v>1</v>
      </c>
      <c r="T308" t="s">
        <v>131</v>
      </c>
    </row>
    <row r="309" spans="1:20">
      <c r="A309">
        <v>308</v>
      </c>
      <c r="B309" s="14">
        <v>45902</v>
      </c>
      <c r="C309" t="s">
        <v>60</v>
      </c>
      <c r="D309" t="s">
        <v>124</v>
      </c>
      <c r="E309" t="s">
        <v>62</v>
      </c>
      <c r="F309" t="s">
        <v>44</v>
      </c>
      <c r="G309" t="s">
        <v>45</v>
      </c>
      <c r="H309" t="s">
        <v>58</v>
      </c>
      <c r="I309" t="s">
        <v>26</v>
      </c>
      <c r="J309" t="s">
        <v>27</v>
      </c>
      <c r="K309">
        <v>36</v>
      </c>
      <c r="L309">
        <v>40.5</v>
      </c>
      <c r="M309">
        <v>15</v>
      </c>
      <c r="N309" s="15">
        <f t="shared" si="4"/>
        <v>1458</v>
      </c>
      <c r="O309" t="s">
        <v>28</v>
      </c>
      <c r="P309" t="s">
        <v>71</v>
      </c>
      <c r="Q309" t="s">
        <v>76</v>
      </c>
      <c r="R309" t="s">
        <v>31</v>
      </c>
      <c r="S309">
        <v>3</v>
      </c>
      <c r="T309" t="s">
        <v>131</v>
      </c>
    </row>
    <row r="310" spans="1:20">
      <c r="A310">
        <v>309</v>
      </c>
      <c r="B310" s="14">
        <v>45851</v>
      </c>
      <c r="C310" t="s">
        <v>50</v>
      </c>
      <c r="D310" t="s">
        <v>129</v>
      </c>
      <c r="E310" t="s">
        <v>122</v>
      </c>
      <c r="F310" t="s">
        <v>44</v>
      </c>
      <c r="G310" t="s">
        <v>128</v>
      </c>
      <c r="H310" t="s">
        <v>25</v>
      </c>
      <c r="I310" t="s">
        <v>47</v>
      </c>
      <c r="J310" t="s">
        <v>48</v>
      </c>
      <c r="K310">
        <v>19</v>
      </c>
      <c r="L310">
        <v>66.6</v>
      </c>
      <c r="M310">
        <v>0</v>
      </c>
      <c r="N310" s="15">
        <f t="shared" si="4"/>
        <v>1265.4</v>
      </c>
      <c r="O310" t="s">
        <v>54</v>
      </c>
      <c r="P310" t="s">
        <v>71</v>
      </c>
      <c r="Q310" t="s">
        <v>76</v>
      </c>
      <c r="R310" t="s">
        <v>31</v>
      </c>
      <c r="S310">
        <v>2</v>
      </c>
      <c r="T310" t="s">
        <v>125</v>
      </c>
    </row>
    <row r="311" spans="1:20">
      <c r="A311">
        <v>310</v>
      </c>
      <c r="B311" s="14">
        <v>45806</v>
      </c>
      <c r="C311" t="s">
        <v>20</v>
      </c>
      <c r="D311" t="s">
        <v>124</v>
      </c>
      <c r="E311" t="s">
        <v>93</v>
      </c>
      <c r="F311" t="s">
        <v>91</v>
      </c>
      <c r="G311" t="s">
        <v>81</v>
      </c>
      <c r="H311" t="s">
        <v>46</v>
      </c>
      <c r="I311" t="s">
        <v>47</v>
      </c>
      <c r="J311" t="s">
        <v>63</v>
      </c>
      <c r="K311">
        <v>13</v>
      </c>
      <c r="L311">
        <v>35.46</v>
      </c>
      <c r="M311">
        <v>5</v>
      </c>
      <c r="N311" s="15">
        <f t="shared" si="4"/>
        <v>460.98</v>
      </c>
      <c r="O311" t="s">
        <v>28</v>
      </c>
      <c r="P311" t="s">
        <v>71</v>
      </c>
      <c r="Q311" t="s">
        <v>76</v>
      </c>
      <c r="R311" t="s">
        <v>31</v>
      </c>
      <c r="S311">
        <v>3</v>
      </c>
      <c r="T311" t="s">
        <v>127</v>
      </c>
    </row>
    <row r="312" spans="1:20">
      <c r="A312">
        <v>311</v>
      </c>
      <c r="B312" s="14">
        <v>45722</v>
      </c>
      <c r="C312" t="s">
        <v>20</v>
      </c>
      <c r="D312" t="s">
        <v>133</v>
      </c>
      <c r="E312" t="s">
        <v>113</v>
      </c>
      <c r="F312" t="s">
        <v>44</v>
      </c>
      <c r="G312" t="s">
        <v>24</v>
      </c>
      <c r="H312" t="s">
        <v>58</v>
      </c>
      <c r="I312" t="s">
        <v>26</v>
      </c>
      <c r="J312" t="s">
        <v>27</v>
      </c>
      <c r="K312">
        <v>32</v>
      </c>
      <c r="L312">
        <v>25.63</v>
      </c>
      <c r="M312">
        <v>15</v>
      </c>
      <c r="N312" s="15">
        <f t="shared" si="4"/>
        <v>820.16</v>
      </c>
      <c r="O312" t="s">
        <v>54</v>
      </c>
      <c r="P312" t="s">
        <v>71</v>
      </c>
      <c r="Q312" t="s">
        <v>30</v>
      </c>
      <c r="R312" t="s">
        <v>42</v>
      </c>
      <c r="S312">
        <v>3</v>
      </c>
      <c r="T312" t="s">
        <v>131</v>
      </c>
    </row>
    <row r="313" spans="1:20">
      <c r="A313">
        <v>312</v>
      </c>
      <c r="B313" s="14">
        <v>45827</v>
      </c>
      <c r="C313" t="s">
        <v>20</v>
      </c>
      <c r="D313" t="s">
        <v>61</v>
      </c>
      <c r="E313" t="s">
        <v>79</v>
      </c>
      <c r="F313" t="s">
        <v>91</v>
      </c>
      <c r="G313" t="s">
        <v>88</v>
      </c>
      <c r="H313" t="s">
        <v>46</v>
      </c>
      <c r="I313" t="s">
        <v>38</v>
      </c>
      <c r="J313" t="s">
        <v>27</v>
      </c>
      <c r="K313">
        <v>35</v>
      </c>
      <c r="L313">
        <v>49.66</v>
      </c>
      <c r="M313">
        <v>5</v>
      </c>
      <c r="N313" s="15">
        <f t="shared" si="4"/>
        <v>1738.1</v>
      </c>
      <c r="O313" t="s">
        <v>54</v>
      </c>
      <c r="P313" t="s">
        <v>71</v>
      </c>
      <c r="Q313" t="s">
        <v>30</v>
      </c>
      <c r="R313" t="s">
        <v>31</v>
      </c>
      <c r="S313">
        <v>3</v>
      </c>
      <c r="T313" t="s">
        <v>125</v>
      </c>
    </row>
    <row r="314" spans="1:20">
      <c r="A314">
        <v>313</v>
      </c>
      <c r="B314" s="14">
        <v>45855</v>
      </c>
      <c r="C314" t="s">
        <v>50</v>
      </c>
      <c r="D314" t="s">
        <v>133</v>
      </c>
      <c r="E314" t="s">
        <v>67</v>
      </c>
      <c r="F314" t="s">
        <v>130</v>
      </c>
      <c r="G314" t="s">
        <v>88</v>
      </c>
      <c r="H314" t="s">
        <v>25</v>
      </c>
      <c r="I314" t="s">
        <v>38</v>
      </c>
      <c r="J314" t="s">
        <v>27</v>
      </c>
      <c r="K314">
        <v>34</v>
      </c>
      <c r="L314">
        <v>68.27</v>
      </c>
      <c r="M314">
        <v>5</v>
      </c>
      <c r="N314" s="15">
        <f t="shared" si="4"/>
        <v>2321.18</v>
      </c>
      <c r="O314" t="s">
        <v>28</v>
      </c>
      <c r="P314" t="s">
        <v>71</v>
      </c>
      <c r="Q314" t="s">
        <v>30</v>
      </c>
      <c r="R314" t="s">
        <v>42</v>
      </c>
      <c r="S314">
        <v>2</v>
      </c>
      <c r="T314" t="s">
        <v>131</v>
      </c>
    </row>
    <row r="315" spans="1:20">
      <c r="A315">
        <v>314</v>
      </c>
      <c r="B315" s="14">
        <v>45939</v>
      </c>
      <c r="C315" t="s">
        <v>33</v>
      </c>
      <c r="D315" t="s">
        <v>124</v>
      </c>
      <c r="E315" t="s">
        <v>94</v>
      </c>
      <c r="F315" t="s">
        <v>44</v>
      </c>
      <c r="G315" t="s">
        <v>128</v>
      </c>
      <c r="H315" t="s">
        <v>46</v>
      </c>
      <c r="I315" t="s">
        <v>26</v>
      </c>
      <c r="J315" t="s">
        <v>48</v>
      </c>
      <c r="K315">
        <v>4</v>
      </c>
      <c r="L315">
        <v>87.05</v>
      </c>
      <c r="M315">
        <v>5</v>
      </c>
      <c r="N315" s="15">
        <f t="shared" si="4"/>
        <v>348.2</v>
      </c>
      <c r="O315" t="s">
        <v>28</v>
      </c>
      <c r="P315" t="s">
        <v>64</v>
      </c>
      <c r="Q315" t="s">
        <v>76</v>
      </c>
      <c r="R315" t="s">
        <v>42</v>
      </c>
      <c r="S315">
        <v>1</v>
      </c>
      <c r="T315" t="s">
        <v>125</v>
      </c>
    </row>
    <row r="316" spans="1:20">
      <c r="A316">
        <v>315</v>
      </c>
      <c r="B316" s="14">
        <v>45799</v>
      </c>
      <c r="C316" t="s">
        <v>33</v>
      </c>
      <c r="D316" t="s">
        <v>124</v>
      </c>
      <c r="E316" t="s">
        <v>87</v>
      </c>
      <c r="F316" t="s">
        <v>91</v>
      </c>
      <c r="G316" t="s">
        <v>88</v>
      </c>
      <c r="H316" t="s">
        <v>58</v>
      </c>
      <c r="I316" t="s">
        <v>47</v>
      </c>
      <c r="J316" t="s">
        <v>63</v>
      </c>
      <c r="K316">
        <v>45</v>
      </c>
      <c r="L316">
        <v>61.64</v>
      </c>
      <c r="M316">
        <v>10</v>
      </c>
      <c r="N316" s="15">
        <f t="shared" si="4"/>
        <v>2773.8</v>
      </c>
      <c r="O316" t="s">
        <v>28</v>
      </c>
      <c r="P316" t="s">
        <v>64</v>
      </c>
      <c r="Q316" t="s">
        <v>76</v>
      </c>
      <c r="R316" t="s">
        <v>42</v>
      </c>
      <c r="S316">
        <v>1</v>
      </c>
      <c r="T316" t="s">
        <v>127</v>
      </c>
    </row>
    <row r="317" spans="1:20">
      <c r="A317">
        <v>316</v>
      </c>
      <c r="B317" s="14">
        <v>45978</v>
      </c>
      <c r="C317" t="s">
        <v>20</v>
      </c>
      <c r="D317" t="s">
        <v>124</v>
      </c>
      <c r="E317" t="s">
        <v>84</v>
      </c>
      <c r="F317" t="s">
        <v>130</v>
      </c>
      <c r="G317" t="s">
        <v>24</v>
      </c>
      <c r="H317" t="s">
        <v>58</v>
      </c>
      <c r="I317" t="s">
        <v>74</v>
      </c>
      <c r="J317" t="s">
        <v>39</v>
      </c>
      <c r="K317">
        <v>32</v>
      </c>
      <c r="L317">
        <v>27.1</v>
      </c>
      <c r="M317">
        <v>0</v>
      </c>
      <c r="N317" s="15">
        <f t="shared" si="4"/>
        <v>867.2</v>
      </c>
      <c r="O317" t="s">
        <v>54</v>
      </c>
      <c r="P317" t="s">
        <v>71</v>
      </c>
      <c r="Q317" t="s">
        <v>76</v>
      </c>
      <c r="R317" t="s">
        <v>31</v>
      </c>
      <c r="S317">
        <v>3</v>
      </c>
      <c r="T317" t="s">
        <v>131</v>
      </c>
    </row>
    <row r="318" spans="1:20">
      <c r="A318">
        <v>317</v>
      </c>
      <c r="B318" s="14">
        <v>45841</v>
      </c>
      <c r="C318" t="s">
        <v>20</v>
      </c>
      <c r="D318" t="s">
        <v>61</v>
      </c>
      <c r="E318" t="s">
        <v>94</v>
      </c>
      <c r="F318" t="s">
        <v>44</v>
      </c>
      <c r="G318" t="s">
        <v>81</v>
      </c>
      <c r="H318" t="s">
        <v>73</v>
      </c>
      <c r="I318" t="s">
        <v>47</v>
      </c>
      <c r="J318" t="s">
        <v>48</v>
      </c>
      <c r="K318">
        <v>35</v>
      </c>
      <c r="L318">
        <v>71.22</v>
      </c>
      <c r="M318">
        <v>5</v>
      </c>
      <c r="N318" s="15">
        <f t="shared" si="4"/>
        <v>2492.7</v>
      </c>
      <c r="O318" t="s">
        <v>40</v>
      </c>
      <c r="P318" t="s">
        <v>132</v>
      </c>
      <c r="Q318" t="s">
        <v>30</v>
      </c>
      <c r="R318" t="s">
        <v>42</v>
      </c>
      <c r="S318">
        <v>4</v>
      </c>
      <c r="T318" t="s">
        <v>127</v>
      </c>
    </row>
    <row r="319" spans="1:20">
      <c r="A319">
        <v>318</v>
      </c>
      <c r="B319" s="14">
        <v>45964</v>
      </c>
      <c r="C319" t="s">
        <v>50</v>
      </c>
      <c r="D319" t="s">
        <v>126</v>
      </c>
      <c r="E319" t="s">
        <v>120</v>
      </c>
      <c r="F319" t="s">
        <v>44</v>
      </c>
      <c r="G319" t="s">
        <v>68</v>
      </c>
      <c r="H319" t="s">
        <v>25</v>
      </c>
      <c r="I319" t="s">
        <v>38</v>
      </c>
      <c r="J319" t="s">
        <v>48</v>
      </c>
      <c r="K319">
        <v>17</v>
      </c>
      <c r="L319">
        <v>56.45</v>
      </c>
      <c r="M319">
        <v>15</v>
      </c>
      <c r="N319" s="15">
        <f t="shared" si="4"/>
        <v>959.65</v>
      </c>
      <c r="O319" t="s">
        <v>28</v>
      </c>
      <c r="P319" t="s">
        <v>71</v>
      </c>
      <c r="Q319" t="s">
        <v>76</v>
      </c>
      <c r="R319" t="s">
        <v>31</v>
      </c>
      <c r="S319">
        <v>5</v>
      </c>
      <c r="T319" t="s">
        <v>127</v>
      </c>
    </row>
    <row r="320" spans="1:20">
      <c r="A320">
        <v>319</v>
      </c>
      <c r="B320" s="14">
        <v>45975</v>
      </c>
      <c r="C320" t="s">
        <v>50</v>
      </c>
      <c r="D320" t="s">
        <v>129</v>
      </c>
      <c r="E320" t="s">
        <v>113</v>
      </c>
      <c r="F320" t="s">
        <v>44</v>
      </c>
      <c r="G320" t="s">
        <v>128</v>
      </c>
      <c r="H320" t="s">
        <v>58</v>
      </c>
      <c r="I320" t="s">
        <v>38</v>
      </c>
      <c r="J320" t="s">
        <v>39</v>
      </c>
      <c r="K320">
        <v>34</v>
      </c>
      <c r="L320">
        <v>69.91</v>
      </c>
      <c r="M320">
        <v>0</v>
      </c>
      <c r="N320" s="15">
        <f t="shared" si="4"/>
        <v>2376.94</v>
      </c>
      <c r="O320" t="s">
        <v>40</v>
      </c>
      <c r="P320" t="s">
        <v>132</v>
      </c>
      <c r="Q320" t="s">
        <v>30</v>
      </c>
      <c r="R320" t="s">
        <v>42</v>
      </c>
      <c r="S320">
        <v>3</v>
      </c>
      <c r="T320" t="s">
        <v>127</v>
      </c>
    </row>
    <row r="321" spans="1:20">
      <c r="A321">
        <v>320</v>
      </c>
      <c r="B321" s="14">
        <v>45714</v>
      </c>
      <c r="C321" t="s">
        <v>20</v>
      </c>
      <c r="D321" t="s">
        <v>126</v>
      </c>
      <c r="E321" t="s">
        <v>112</v>
      </c>
      <c r="F321" t="s">
        <v>44</v>
      </c>
      <c r="G321" t="s">
        <v>88</v>
      </c>
      <c r="H321" t="s">
        <v>25</v>
      </c>
      <c r="I321" t="s">
        <v>26</v>
      </c>
      <c r="J321" t="s">
        <v>27</v>
      </c>
      <c r="K321">
        <v>13</v>
      </c>
      <c r="L321">
        <v>15.17</v>
      </c>
      <c r="M321">
        <v>5</v>
      </c>
      <c r="N321" s="15">
        <f t="shared" si="4"/>
        <v>197.21</v>
      </c>
      <c r="O321" t="s">
        <v>28</v>
      </c>
      <c r="P321" t="s">
        <v>71</v>
      </c>
      <c r="Q321" t="s">
        <v>76</v>
      </c>
      <c r="R321" t="s">
        <v>42</v>
      </c>
      <c r="S321">
        <v>4</v>
      </c>
      <c r="T321" t="s">
        <v>127</v>
      </c>
    </row>
    <row r="322" spans="1:20">
      <c r="A322">
        <v>321</v>
      </c>
      <c r="B322" s="14">
        <v>45683</v>
      </c>
      <c r="C322" t="s">
        <v>60</v>
      </c>
      <c r="D322" t="s">
        <v>61</v>
      </c>
      <c r="E322" t="s">
        <v>95</v>
      </c>
      <c r="F322" t="s">
        <v>130</v>
      </c>
      <c r="G322" t="s">
        <v>88</v>
      </c>
      <c r="H322" t="s">
        <v>58</v>
      </c>
      <c r="I322" t="s">
        <v>26</v>
      </c>
      <c r="J322" t="s">
        <v>63</v>
      </c>
      <c r="K322">
        <v>6</v>
      </c>
      <c r="L322">
        <v>49.47</v>
      </c>
      <c r="M322">
        <v>0</v>
      </c>
      <c r="N322" s="15">
        <f t="shared" ref="N322:N385" si="5">PRODUCT(K322,L322)</f>
        <v>296.82</v>
      </c>
      <c r="O322" t="s">
        <v>54</v>
      </c>
      <c r="P322" t="s">
        <v>71</v>
      </c>
      <c r="Q322" t="s">
        <v>30</v>
      </c>
      <c r="R322" t="s">
        <v>42</v>
      </c>
      <c r="S322">
        <v>1</v>
      </c>
      <c r="T322" t="s">
        <v>127</v>
      </c>
    </row>
    <row r="323" spans="1:20">
      <c r="A323">
        <v>322</v>
      </c>
      <c r="B323" s="14">
        <v>45928</v>
      </c>
      <c r="C323" t="s">
        <v>20</v>
      </c>
      <c r="D323" t="s">
        <v>124</v>
      </c>
      <c r="E323" t="s">
        <v>52</v>
      </c>
      <c r="F323" t="s">
        <v>23</v>
      </c>
      <c r="G323" t="s">
        <v>88</v>
      </c>
      <c r="H323" t="s">
        <v>25</v>
      </c>
      <c r="I323" t="s">
        <v>47</v>
      </c>
      <c r="J323" t="s">
        <v>27</v>
      </c>
      <c r="K323">
        <v>7</v>
      </c>
      <c r="L323">
        <v>73.89</v>
      </c>
      <c r="M323">
        <v>0</v>
      </c>
      <c r="N323" s="15">
        <f t="shared" si="5"/>
        <v>517.23</v>
      </c>
      <c r="O323" t="s">
        <v>28</v>
      </c>
      <c r="P323" t="s">
        <v>64</v>
      </c>
      <c r="Q323" t="s">
        <v>76</v>
      </c>
      <c r="R323" t="s">
        <v>42</v>
      </c>
      <c r="S323">
        <v>3</v>
      </c>
      <c r="T323" t="s">
        <v>125</v>
      </c>
    </row>
    <row r="324" spans="1:20">
      <c r="A324">
        <v>323</v>
      </c>
      <c r="B324" s="14">
        <v>45949</v>
      </c>
      <c r="C324" t="s">
        <v>20</v>
      </c>
      <c r="D324" t="s">
        <v>61</v>
      </c>
      <c r="E324" t="s">
        <v>96</v>
      </c>
      <c r="F324" t="s">
        <v>130</v>
      </c>
      <c r="G324" t="s">
        <v>68</v>
      </c>
      <c r="H324" t="s">
        <v>73</v>
      </c>
      <c r="I324" t="s">
        <v>74</v>
      </c>
      <c r="J324" t="s">
        <v>48</v>
      </c>
      <c r="K324">
        <v>44</v>
      </c>
      <c r="L324">
        <v>48.58</v>
      </c>
      <c r="M324">
        <v>15</v>
      </c>
      <c r="N324" s="15">
        <f t="shared" si="5"/>
        <v>2137.52</v>
      </c>
      <c r="O324" t="s">
        <v>28</v>
      </c>
      <c r="P324" t="s">
        <v>64</v>
      </c>
      <c r="Q324" t="s">
        <v>76</v>
      </c>
      <c r="R324" t="s">
        <v>42</v>
      </c>
      <c r="S324">
        <v>4</v>
      </c>
      <c r="T324" t="s">
        <v>127</v>
      </c>
    </row>
    <row r="325" spans="1:20">
      <c r="A325">
        <v>324</v>
      </c>
      <c r="B325" s="14">
        <v>45994</v>
      </c>
      <c r="C325" t="s">
        <v>50</v>
      </c>
      <c r="D325" t="s">
        <v>126</v>
      </c>
      <c r="E325" t="s">
        <v>95</v>
      </c>
      <c r="F325" t="s">
        <v>44</v>
      </c>
      <c r="G325" t="s">
        <v>45</v>
      </c>
      <c r="H325" t="s">
        <v>46</v>
      </c>
      <c r="I325" t="s">
        <v>47</v>
      </c>
      <c r="J325" t="s">
        <v>48</v>
      </c>
      <c r="K325">
        <v>24</v>
      </c>
      <c r="L325">
        <v>44.17</v>
      </c>
      <c r="M325">
        <v>15</v>
      </c>
      <c r="N325" s="15">
        <f t="shared" si="5"/>
        <v>1060.08</v>
      </c>
      <c r="O325" t="s">
        <v>54</v>
      </c>
      <c r="P325" t="s">
        <v>64</v>
      </c>
      <c r="Q325" t="s">
        <v>76</v>
      </c>
      <c r="R325" t="s">
        <v>42</v>
      </c>
      <c r="S325">
        <v>5</v>
      </c>
      <c r="T325" t="s">
        <v>127</v>
      </c>
    </row>
    <row r="326" spans="1:20">
      <c r="A326">
        <v>325</v>
      </c>
      <c r="B326" s="14">
        <v>45842</v>
      </c>
      <c r="C326" t="s">
        <v>85</v>
      </c>
      <c r="D326" t="s">
        <v>133</v>
      </c>
      <c r="E326" t="s">
        <v>87</v>
      </c>
      <c r="F326" t="s">
        <v>44</v>
      </c>
      <c r="G326" t="s">
        <v>128</v>
      </c>
      <c r="H326" t="s">
        <v>58</v>
      </c>
      <c r="I326" t="s">
        <v>53</v>
      </c>
      <c r="J326" t="s">
        <v>27</v>
      </c>
      <c r="K326">
        <v>34</v>
      </c>
      <c r="L326">
        <v>17.83</v>
      </c>
      <c r="M326">
        <v>10</v>
      </c>
      <c r="N326" s="15">
        <f t="shared" si="5"/>
        <v>606.22</v>
      </c>
      <c r="O326" t="s">
        <v>28</v>
      </c>
      <c r="P326" t="s">
        <v>132</v>
      </c>
      <c r="Q326" t="s">
        <v>76</v>
      </c>
      <c r="R326" t="s">
        <v>31</v>
      </c>
      <c r="S326">
        <v>3</v>
      </c>
      <c r="T326" t="s">
        <v>131</v>
      </c>
    </row>
    <row r="327" spans="1:20">
      <c r="A327">
        <v>326</v>
      </c>
      <c r="B327" s="14">
        <v>46011</v>
      </c>
      <c r="C327" t="s">
        <v>50</v>
      </c>
      <c r="D327" t="s">
        <v>129</v>
      </c>
      <c r="E327" t="s">
        <v>96</v>
      </c>
      <c r="F327" t="s">
        <v>91</v>
      </c>
      <c r="G327" t="s">
        <v>68</v>
      </c>
      <c r="H327" t="s">
        <v>58</v>
      </c>
      <c r="I327" t="s">
        <v>47</v>
      </c>
      <c r="J327" t="s">
        <v>39</v>
      </c>
      <c r="K327">
        <v>7</v>
      </c>
      <c r="L327">
        <v>8.58</v>
      </c>
      <c r="M327">
        <v>10</v>
      </c>
      <c r="N327" s="15">
        <f t="shared" si="5"/>
        <v>60.06</v>
      </c>
      <c r="O327" t="s">
        <v>40</v>
      </c>
      <c r="P327" t="s">
        <v>64</v>
      </c>
      <c r="Q327" t="s">
        <v>30</v>
      </c>
      <c r="R327" t="s">
        <v>42</v>
      </c>
      <c r="S327">
        <v>5</v>
      </c>
      <c r="T327" t="s">
        <v>125</v>
      </c>
    </row>
    <row r="328" spans="1:20">
      <c r="A328">
        <v>327</v>
      </c>
      <c r="B328" s="14">
        <v>45777</v>
      </c>
      <c r="C328" t="s">
        <v>60</v>
      </c>
      <c r="D328" t="s">
        <v>61</v>
      </c>
      <c r="E328" t="s">
        <v>114</v>
      </c>
      <c r="F328" t="s">
        <v>44</v>
      </c>
      <c r="G328" t="s">
        <v>68</v>
      </c>
      <c r="H328" t="s">
        <v>73</v>
      </c>
      <c r="I328" t="s">
        <v>47</v>
      </c>
      <c r="J328" t="s">
        <v>39</v>
      </c>
      <c r="K328">
        <v>47</v>
      </c>
      <c r="L328">
        <v>12.33</v>
      </c>
      <c r="M328">
        <v>10</v>
      </c>
      <c r="N328" s="15">
        <f t="shared" si="5"/>
        <v>579.51</v>
      </c>
      <c r="O328" t="s">
        <v>28</v>
      </c>
      <c r="P328" t="s">
        <v>64</v>
      </c>
      <c r="Q328" t="s">
        <v>76</v>
      </c>
      <c r="R328" t="s">
        <v>42</v>
      </c>
      <c r="S328">
        <v>3</v>
      </c>
      <c r="T328" t="s">
        <v>131</v>
      </c>
    </row>
    <row r="329" spans="1:20">
      <c r="A329">
        <v>328</v>
      </c>
      <c r="B329" s="14">
        <v>45962</v>
      </c>
      <c r="C329" t="s">
        <v>20</v>
      </c>
      <c r="D329" t="s">
        <v>129</v>
      </c>
      <c r="E329" t="s">
        <v>118</v>
      </c>
      <c r="F329" t="s">
        <v>130</v>
      </c>
      <c r="G329" t="s">
        <v>68</v>
      </c>
      <c r="H329" t="s">
        <v>73</v>
      </c>
      <c r="I329" t="s">
        <v>74</v>
      </c>
      <c r="J329" t="s">
        <v>27</v>
      </c>
      <c r="K329">
        <v>50</v>
      </c>
      <c r="L329">
        <v>36.77</v>
      </c>
      <c r="M329">
        <v>15</v>
      </c>
      <c r="N329" s="15">
        <f t="shared" si="5"/>
        <v>1838.5</v>
      </c>
      <c r="O329" t="s">
        <v>28</v>
      </c>
      <c r="P329" t="s">
        <v>71</v>
      </c>
      <c r="Q329" t="s">
        <v>76</v>
      </c>
      <c r="R329" t="s">
        <v>42</v>
      </c>
      <c r="S329">
        <v>3</v>
      </c>
      <c r="T329" t="s">
        <v>131</v>
      </c>
    </row>
    <row r="330" spans="1:20">
      <c r="A330">
        <v>329</v>
      </c>
      <c r="B330" s="14">
        <v>45982</v>
      </c>
      <c r="C330" t="s">
        <v>50</v>
      </c>
      <c r="D330" t="s">
        <v>124</v>
      </c>
      <c r="E330" t="s">
        <v>43</v>
      </c>
      <c r="F330" t="s">
        <v>44</v>
      </c>
      <c r="G330" t="s">
        <v>45</v>
      </c>
      <c r="H330" t="s">
        <v>58</v>
      </c>
      <c r="I330" t="s">
        <v>74</v>
      </c>
      <c r="J330" t="s">
        <v>48</v>
      </c>
      <c r="K330">
        <v>35</v>
      </c>
      <c r="L330">
        <v>58.67</v>
      </c>
      <c r="M330">
        <v>10</v>
      </c>
      <c r="N330" s="15">
        <f t="shared" si="5"/>
        <v>2053.45</v>
      </c>
      <c r="O330" t="s">
        <v>40</v>
      </c>
      <c r="P330" t="s">
        <v>64</v>
      </c>
      <c r="Q330" t="s">
        <v>30</v>
      </c>
      <c r="R330" t="s">
        <v>42</v>
      </c>
      <c r="S330">
        <v>3</v>
      </c>
      <c r="T330" t="s">
        <v>131</v>
      </c>
    </row>
    <row r="331" spans="1:20">
      <c r="A331">
        <v>330</v>
      </c>
      <c r="B331" s="14">
        <v>45886</v>
      </c>
      <c r="C331" t="s">
        <v>50</v>
      </c>
      <c r="D331" t="s">
        <v>126</v>
      </c>
      <c r="E331" t="s">
        <v>100</v>
      </c>
      <c r="F331" t="s">
        <v>91</v>
      </c>
      <c r="G331" t="s">
        <v>88</v>
      </c>
      <c r="H331" t="s">
        <v>25</v>
      </c>
      <c r="I331" t="s">
        <v>38</v>
      </c>
      <c r="J331" t="s">
        <v>48</v>
      </c>
      <c r="K331">
        <v>26</v>
      </c>
      <c r="L331">
        <v>19.06</v>
      </c>
      <c r="M331">
        <v>10</v>
      </c>
      <c r="N331" s="15">
        <f t="shared" si="5"/>
        <v>495.56</v>
      </c>
      <c r="O331" t="s">
        <v>28</v>
      </c>
      <c r="P331" t="s">
        <v>71</v>
      </c>
      <c r="Q331" t="s">
        <v>30</v>
      </c>
      <c r="R331" t="s">
        <v>42</v>
      </c>
      <c r="S331">
        <v>4</v>
      </c>
      <c r="T331" t="s">
        <v>127</v>
      </c>
    </row>
    <row r="332" spans="1:20">
      <c r="A332">
        <v>331</v>
      </c>
      <c r="B332" s="14">
        <v>45701</v>
      </c>
      <c r="C332" t="s">
        <v>85</v>
      </c>
      <c r="D332" t="s">
        <v>126</v>
      </c>
      <c r="E332" t="s">
        <v>103</v>
      </c>
      <c r="F332" t="s">
        <v>130</v>
      </c>
      <c r="G332" t="s">
        <v>24</v>
      </c>
      <c r="H332" t="s">
        <v>25</v>
      </c>
      <c r="I332" t="s">
        <v>38</v>
      </c>
      <c r="J332" t="s">
        <v>39</v>
      </c>
      <c r="K332">
        <v>32</v>
      </c>
      <c r="L332">
        <v>42.56</v>
      </c>
      <c r="M332">
        <v>0</v>
      </c>
      <c r="N332" s="15">
        <f t="shared" si="5"/>
        <v>1361.92</v>
      </c>
      <c r="O332" t="s">
        <v>40</v>
      </c>
      <c r="P332" t="s">
        <v>64</v>
      </c>
      <c r="Q332" t="s">
        <v>76</v>
      </c>
      <c r="R332" t="s">
        <v>31</v>
      </c>
      <c r="S332">
        <v>3</v>
      </c>
      <c r="T332" t="s">
        <v>131</v>
      </c>
    </row>
    <row r="333" spans="1:20">
      <c r="A333">
        <v>332</v>
      </c>
      <c r="B333" s="14">
        <v>45823</v>
      </c>
      <c r="C333" t="s">
        <v>20</v>
      </c>
      <c r="D333" t="s">
        <v>126</v>
      </c>
      <c r="E333" t="s">
        <v>122</v>
      </c>
      <c r="F333" t="s">
        <v>44</v>
      </c>
      <c r="G333" t="s">
        <v>128</v>
      </c>
      <c r="H333" t="s">
        <v>73</v>
      </c>
      <c r="I333" t="s">
        <v>38</v>
      </c>
      <c r="J333" t="s">
        <v>48</v>
      </c>
      <c r="K333">
        <v>23</v>
      </c>
      <c r="L333">
        <v>23.1</v>
      </c>
      <c r="M333">
        <v>10</v>
      </c>
      <c r="N333" s="15">
        <f t="shared" si="5"/>
        <v>531.3</v>
      </c>
      <c r="O333" t="s">
        <v>28</v>
      </c>
      <c r="P333" t="s">
        <v>132</v>
      </c>
      <c r="Q333" t="s">
        <v>76</v>
      </c>
      <c r="R333" t="s">
        <v>42</v>
      </c>
      <c r="S333">
        <v>5</v>
      </c>
      <c r="T333" t="s">
        <v>131</v>
      </c>
    </row>
    <row r="334" spans="1:20">
      <c r="A334">
        <v>333</v>
      </c>
      <c r="B334" s="14">
        <v>45977</v>
      </c>
      <c r="C334" t="s">
        <v>50</v>
      </c>
      <c r="D334" t="s">
        <v>133</v>
      </c>
      <c r="E334" t="s">
        <v>118</v>
      </c>
      <c r="F334" t="s">
        <v>91</v>
      </c>
      <c r="G334" t="s">
        <v>24</v>
      </c>
      <c r="H334" t="s">
        <v>46</v>
      </c>
      <c r="I334" t="s">
        <v>26</v>
      </c>
      <c r="J334" t="s">
        <v>27</v>
      </c>
      <c r="K334">
        <v>8</v>
      </c>
      <c r="L334">
        <v>75.26</v>
      </c>
      <c r="M334">
        <v>5</v>
      </c>
      <c r="N334" s="15">
        <f t="shared" si="5"/>
        <v>602.08</v>
      </c>
      <c r="O334" t="s">
        <v>40</v>
      </c>
      <c r="P334" t="s">
        <v>132</v>
      </c>
      <c r="Q334" t="s">
        <v>30</v>
      </c>
      <c r="R334" t="s">
        <v>42</v>
      </c>
      <c r="S334">
        <v>3</v>
      </c>
      <c r="T334" t="s">
        <v>131</v>
      </c>
    </row>
    <row r="335" spans="1:20">
      <c r="A335">
        <v>334</v>
      </c>
      <c r="B335" s="14">
        <v>45814</v>
      </c>
      <c r="C335" t="s">
        <v>85</v>
      </c>
      <c r="D335" t="s">
        <v>133</v>
      </c>
      <c r="E335" t="s">
        <v>35</v>
      </c>
      <c r="F335" t="s">
        <v>23</v>
      </c>
      <c r="G335" t="s">
        <v>24</v>
      </c>
      <c r="H335" t="s">
        <v>58</v>
      </c>
      <c r="I335" t="s">
        <v>26</v>
      </c>
      <c r="J335" t="s">
        <v>39</v>
      </c>
      <c r="K335">
        <v>35</v>
      </c>
      <c r="L335">
        <v>54.71</v>
      </c>
      <c r="M335">
        <v>10</v>
      </c>
      <c r="N335" s="15">
        <f t="shared" si="5"/>
        <v>1914.85</v>
      </c>
      <c r="O335" t="s">
        <v>28</v>
      </c>
      <c r="P335" t="s">
        <v>64</v>
      </c>
      <c r="Q335" t="s">
        <v>30</v>
      </c>
      <c r="R335" t="s">
        <v>42</v>
      </c>
      <c r="S335">
        <v>5</v>
      </c>
      <c r="T335" t="s">
        <v>131</v>
      </c>
    </row>
    <row r="336" spans="1:20">
      <c r="A336">
        <v>335</v>
      </c>
      <c r="B336" s="14">
        <v>45788</v>
      </c>
      <c r="C336" t="s">
        <v>50</v>
      </c>
      <c r="D336" t="s">
        <v>124</v>
      </c>
      <c r="E336" t="s">
        <v>72</v>
      </c>
      <c r="F336" t="s">
        <v>91</v>
      </c>
      <c r="G336" t="s">
        <v>128</v>
      </c>
      <c r="H336" t="s">
        <v>58</v>
      </c>
      <c r="I336" t="s">
        <v>53</v>
      </c>
      <c r="J336" t="s">
        <v>27</v>
      </c>
      <c r="K336">
        <v>30</v>
      </c>
      <c r="L336">
        <v>67.2</v>
      </c>
      <c r="M336">
        <v>0</v>
      </c>
      <c r="N336" s="15">
        <f t="shared" si="5"/>
        <v>2016</v>
      </c>
      <c r="O336" t="s">
        <v>28</v>
      </c>
      <c r="P336" t="s">
        <v>71</v>
      </c>
      <c r="Q336" t="s">
        <v>30</v>
      </c>
      <c r="R336" t="s">
        <v>42</v>
      </c>
      <c r="S336">
        <v>3</v>
      </c>
      <c r="T336" t="s">
        <v>127</v>
      </c>
    </row>
    <row r="337" spans="1:20">
      <c r="A337">
        <v>336</v>
      </c>
      <c r="B337" s="14">
        <v>45713</v>
      </c>
      <c r="C337" t="s">
        <v>20</v>
      </c>
      <c r="D337" t="s">
        <v>129</v>
      </c>
      <c r="E337" t="s">
        <v>109</v>
      </c>
      <c r="F337" t="s">
        <v>44</v>
      </c>
      <c r="G337" t="s">
        <v>24</v>
      </c>
      <c r="H337" t="s">
        <v>73</v>
      </c>
      <c r="I337" t="s">
        <v>47</v>
      </c>
      <c r="J337" t="s">
        <v>27</v>
      </c>
      <c r="K337">
        <v>21</v>
      </c>
      <c r="L337">
        <v>51.04</v>
      </c>
      <c r="M337">
        <v>0</v>
      </c>
      <c r="N337" s="15">
        <f t="shared" si="5"/>
        <v>1071.84</v>
      </c>
      <c r="O337" t="s">
        <v>28</v>
      </c>
      <c r="P337" t="s">
        <v>64</v>
      </c>
      <c r="Q337" t="s">
        <v>76</v>
      </c>
      <c r="R337" t="s">
        <v>42</v>
      </c>
      <c r="S337">
        <v>4</v>
      </c>
      <c r="T337" t="s">
        <v>131</v>
      </c>
    </row>
    <row r="338" spans="1:20">
      <c r="A338">
        <v>337</v>
      </c>
      <c r="B338" s="14">
        <v>45678</v>
      </c>
      <c r="C338" t="s">
        <v>50</v>
      </c>
      <c r="D338" t="s">
        <v>126</v>
      </c>
      <c r="E338" t="s">
        <v>114</v>
      </c>
      <c r="F338" t="s">
        <v>23</v>
      </c>
      <c r="G338" t="s">
        <v>81</v>
      </c>
      <c r="H338" t="s">
        <v>73</v>
      </c>
      <c r="I338" t="s">
        <v>26</v>
      </c>
      <c r="J338" t="s">
        <v>27</v>
      </c>
      <c r="K338">
        <v>23</v>
      </c>
      <c r="L338">
        <v>70.01</v>
      </c>
      <c r="M338">
        <v>10</v>
      </c>
      <c r="N338" s="15">
        <f t="shared" si="5"/>
        <v>1610.23</v>
      </c>
      <c r="O338" t="s">
        <v>54</v>
      </c>
      <c r="P338" t="s">
        <v>64</v>
      </c>
      <c r="Q338" t="s">
        <v>30</v>
      </c>
      <c r="R338" t="s">
        <v>31</v>
      </c>
      <c r="S338">
        <v>3</v>
      </c>
      <c r="T338" t="s">
        <v>127</v>
      </c>
    </row>
    <row r="339" spans="1:20">
      <c r="A339">
        <v>338</v>
      </c>
      <c r="B339" s="14">
        <v>45856</v>
      </c>
      <c r="C339" t="s">
        <v>50</v>
      </c>
      <c r="D339" t="s">
        <v>124</v>
      </c>
      <c r="E339" t="s">
        <v>96</v>
      </c>
      <c r="F339" t="s">
        <v>23</v>
      </c>
      <c r="G339" t="s">
        <v>24</v>
      </c>
      <c r="H339" t="s">
        <v>25</v>
      </c>
      <c r="I339" t="s">
        <v>53</v>
      </c>
      <c r="J339" t="s">
        <v>63</v>
      </c>
      <c r="K339">
        <v>43</v>
      </c>
      <c r="L339">
        <v>18.04</v>
      </c>
      <c r="M339">
        <v>15</v>
      </c>
      <c r="N339" s="15">
        <f t="shared" si="5"/>
        <v>775.72</v>
      </c>
      <c r="O339" t="s">
        <v>40</v>
      </c>
      <c r="P339" t="s">
        <v>71</v>
      </c>
      <c r="Q339" t="s">
        <v>76</v>
      </c>
      <c r="R339" t="s">
        <v>42</v>
      </c>
      <c r="S339">
        <v>2</v>
      </c>
      <c r="T339" t="s">
        <v>131</v>
      </c>
    </row>
    <row r="340" spans="1:20">
      <c r="A340">
        <v>339</v>
      </c>
      <c r="B340" s="14">
        <v>45817</v>
      </c>
      <c r="C340" t="s">
        <v>33</v>
      </c>
      <c r="D340" t="s">
        <v>129</v>
      </c>
      <c r="E340" t="s">
        <v>80</v>
      </c>
      <c r="F340" t="s">
        <v>91</v>
      </c>
      <c r="G340" t="s">
        <v>24</v>
      </c>
      <c r="H340" t="s">
        <v>25</v>
      </c>
      <c r="I340" t="s">
        <v>26</v>
      </c>
      <c r="J340" t="s">
        <v>39</v>
      </c>
      <c r="K340">
        <v>9</v>
      </c>
      <c r="L340">
        <v>34.35</v>
      </c>
      <c r="M340">
        <v>0</v>
      </c>
      <c r="N340" s="15">
        <f t="shared" si="5"/>
        <v>309.15</v>
      </c>
      <c r="O340" t="s">
        <v>40</v>
      </c>
      <c r="P340" t="s">
        <v>71</v>
      </c>
      <c r="Q340" t="s">
        <v>76</v>
      </c>
      <c r="R340" t="s">
        <v>42</v>
      </c>
      <c r="S340">
        <v>5</v>
      </c>
      <c r="T340" t="s">
        <v>125</v>
      </c>
    </row>
    <row r="341" spans="1:20">
      <c r="A341">
        <v>340</v>
      </c>
      <c r="B341" s="14">
        <v>45820</v>
      </c>
      <c r="C341" t="s">
        <v>20</v>
      </c>
      <c r="D341" t="s">
        <v>126</v>
      </c>
      <c r="E341" t="s">
        <v>121</v>
      </c>
      <c r="F341" t="s">
        <v>130</v>
      </c>
      <c r="G341" t="s">
        <v>88</v>
      </c>
      <c r="H341" t="s">
        <v>25</v>
      </c>
      <c r="I341" t="s">
        <v>53</v>
      </c>
      <c r="J341" t="s">
        <v>39</v>
      </c>
      <c r="K341">
        <v>47</v>
      </c>
      <c r="L341">
        <v>7.8</v>
      </c>
      <c r="M341">
        <v>10</v>
      </c>
      <c r="N341" s="15">
        <f t="shared" si="5"/>
        <v>366.6</v>
      </c>
      <c r="O341" t="s">
        <v>28</v>
      </c>
      <c r="P341" t="s">
        <v>71</v>
      </c>
      <c r="Q341" t="s">
        <v>30</v>
      </c>
      <c r="R341" t="s">
        <v>42</v>
      </c>
      <c r="S341">
        <v>3</v>
      </c>
      <c r="T341" t="s">
        <v>127</v>
      </c>
    </row>
    <row r="342" spans="1:20">
      <c r="A342">
        <v>341</v>
      </c>
      <c r="B342" s="14">
        <v>45735</v>
      </c>
      <c r="C342" t="s">
        <v>50</v>
      </c>
      <c r="D342" t="s">
        <v>61</v>
      </c>
      <c r="E342" t="s">
        <v>106</v>
      </c>
      <c r="F342" t="s">
        <v>91</v>
      </c>
      <c r="G342" t="s">
        <v>24</v>
      </c>
      <c r="H342" t="s">
        <v>58</v>
      </c>
      <c r="I342" t="s">
        <v>47</v>
      </c>
      <c r="J342" t="s">
        <v>48</v>
      </c>
      <c r="K342">
        <v>39</v>
      </c>
      <c r="L342">
        <v>58.87</v>
      </c>
      <c r="M342">
        <v>5</v>
      </c>
      <c r="N342" s="15">
        <f t="shared" si="5"/>
        <v>2295.93</v>
      </c>
      <c r="O342" t="s">
        <v>40</v>
      </c>
      <c r="P342" t="s">
        <v>64</v>
      </c>
      <c r="Q342" t="s">
        <v>30</v>
      </c>
      <c r="R342" t="s">
        <v>42</v>
      </c>
      <c r="S342">
        <v>1</v>
      </c>
      <c r="T342" t="s">
        <v>131</v>
      </c>
    </row>
    <row r="343" spans="1:20">
      <c r="A343">
        <v>342</v>
      </c>
      <c r="B343" s="14">
        <v>45726</v>
      </c>
      <c r="C343" t="s">
        <v>33</v>
      </c>
      <c r="D343" t="s">
        <v>61</v>
      </c>
      <c r="E343" t="s">
        <v>95</v>
      </c>
      <c r="F343" t="s">
        <v>44</v>
      </c>
      <c r="G343" t="s">
        <v>128</v>
      </c>
      <c r="H343" t="s">
        <v>46</v>
      </c>
      <c r="I343" t="s">
        <v>26</v>
      </c>
      <c r="J343" t="s">
        <v>63</v>
      </c>
      <c r="K343">
        <v>32</v>
      </c>
      <c r="L343">
        <v>50.02</v>
      </c>
      <c r="M343">
        <v>5</v>
      </c>
      <c r="N343" s="15">
        <f t="shared" si="5"/>
        <v>1600.64</v>
      </c>
      <c r="O343" t="s">
        <v>40</v>
      </c>
      <c r="P343" t="s">
        <v>64</v>
      </c>
      <c r="Q343" t="s">
        <v>30</v>
      </c>
      <c r="R343" t="s">
        <v>42</v>
      </c>
      <c r="S343">
        <v>1</v>
      </c>
      <c r="T343" t="s">
        <v>127</v>
      </c>
    </row>
    <row r="344" spans="1:20">
      <c r="A344">
        <v>343</v>
      </c>
      <c r="B344" s="14">
        <v>45869</v>
      </c>
      <c r="C344" t="s">
        <v>50</v>
      </c>
      <c r="D344" t="s">
        <v>124</v>
      </c>
      <c r="E344" t="s">
        <v>112</v>
      </c>
      <c r="F344" t="s">
        <v>91</v>
      </c>
      <c r="G344" t="s">
        <v>24</v>
      </c>
      <c r="H344" t="s">
        <v>58</v>
      </c>
      <c r="I344" t="s">
        <v>26</v>
      </c>
      <c r="J344" t="s">
        <v>63</v>
      </c>
      <c r="K344">
        <v>40</v>
      </c>
      <c r="L344">
        <v>51.54</v>
      </c>
      <c r="M344">
        <v>10</v>
      </c>
      <c r="N344" s="15">
        <f t="shared" si="5"/>
        <v>2061.6</v>
      </c>
      <c r="O344" t="s">
        <v>28</v>
      </c>
      <c r="P344" t="s">
        <v>64</v>
      </c>
      <c r="Q344" t="s">
        <v>76</v>
      </c>
      <c r="R344" t="s">
        <v>42</v>
      </c>
      <c r="S344">
        <v>1</v>
      </c>
      <c r="T344" t="s">
        <v>131</v>
      </c>
    </row>
    <row r="345" spans="1:20">
      <c r="A345">
        <v>344</v>
      </c>
      <c r="B345" s="14">
        <v>45818</v>
      </c>
      <c r="C345" t="s">
        <v>85</v>
      </c>
      <c r="D345" t="s">
        <v>126</v>
      </c>
      <c r="E345" t="s">
        <v>22</v>
      </c>
      <c r="F345" t="s">
        <v>91</v>
      </c>
      <c r="G345" t="s">
        <v>68</v>
      </c>
      <c r="H345" t="s">
        <v>58</v>
      </c>
      <c r="I345" t="s">
        <v>47</v>
      </c>
      <c r="J345" t="s">
        <v>27</v>
      </c>
      <c r="K345">
        <v>34</v>
      </c>
      <c r="L345">
        <v>15.39</v>
      </c>
      <c r="M345">
        <v>15</v>
      </c>
      <c r="N345" s="15">
        <f t="shared" si="5"/>
        <v>523.26</v>
      </c>
      <c r="O345" t="s">
        <v>28</v>
      </c>
      <c r="P345" t="s">
        <v>64</v>
      </c>
      <c r="Q345" t="s">
        <v>76</v>
      </c>
      <c r="R345" t="s">
        <v>42</v>
      </c>
      <c r="S345">
        <v>1</v>
      </c>
      <c r="T345" t="s">
        <v>131</v>
      </c>
    </row>
    <row r="346" spans="1:20">
      <c r="A346">
        <v>345</v>
      </c>
      <c r="B346" s="14">
        <v>45922</v>
      </c>
      <c r="C346" t="s">
        <v>50</v>
      </c>
      <c r="D346" t="s">
        <v>124</v>
      </c>
      <c r="E346" t="s">
        <v>117</v>
      </c>
      <c r="F346" t="s">
        <v>91</v>
      </c>
      <c r="G346" t="s">
        <v>45</v>
      </c>
      <c r="H346" t="s">
        <v>73</v>
      </c>
      <c r="I346" t="s">
        <v>38</v>
      </c>
      <c r="J346" t="s">
        <v>48</v>
      </c>
      <c r="K346">
        <v>50</v>
      </c>
      <c r="L346">
        <v>83.62</v>
      </c>
      <c r="M346">
        <v>15</v>
      </c>
      <c r="N346" s="15">
        <f t="shared" si="5"/>
        <v>4181</v>
      </c>
      <c r="O346" t="s">
        <v>40</v>
      </c>
      <c r="P346" t="s">
        <v>71</v>
      </c>
      <c r="Q346" t="s">
        <v>30</v>
      </c>
      <c r="R346" t="s">
        <v>42</v>
      </c>
      <c r="S346">
        <v>1</v>
      </c>
      <c r="T346" t="s">
        <v>125</v>
      </c>
    </row>
    <row r="347" spans="1:20">
      <c r="A347">
        <v>346</v>
      </c>
      <c r="B347" s="14">
        <v>45895</v>
      </c>
      <c r="C347" t="s">
        <v>50</v>
      </c>
      <c r="D347" t="s">
        <v>124</v>
      </c>
      <c r="E347" t="s">
        <v>80</v>
      </c>
      <c r="F347" t="s">
        <v>44</v>
      </c>
      <c r="G347" t="s">
        <v>128</v>
      </c>
      <c r="H347" t="s">
        <v>58</v>
      </c>
      <c r="I347" t="s">
        <v>74</v>
      </c>
      <c r="J347" t="s">
        <v>39</v>
      </c>
      <c r="K347">
        <v>50</v>
      </c>
      <c r="L347">
        <v>60.62</v>
      </c>
      <c r="M347">
        <v>0</v>
      </c>
      <c r="N347" s="15">
        <f t="shared" si="5"/>
        <v>3031</v>
      </c>
      <c r="O347" t="s">
        <v>40</v>
      </c>
      <c r="P347" t="s">
        <v>71</v>
      </c>
      <c r="Q347" t="s">
        <v>76</v>
      </c>
      <c r="R347" t="s">
        <v>42</v>
      </c>
      <c r="S347">
        <v>4</v>
      </c>
      <c r="T347" t="s">
        <v>131</v>
      </c>
    </row>
    <row r="348" spans="1:20">
      <c r="A348">
        <v>347</v>
      </c>
      <c r="B348" s="14">
        <v>45749</v>
      </c>
      <c r="C348" t="s">
        <v>85</v>
      </c>
      <c r="D348" t="s">
        <v>126</v>
      </c>
      <c r="E348" t="s">
        <v>102</v>
      </c>
      <c r="F348" t="s">
        <v>91</v>
      </c>
      <c r="G348" t="s">
        <v>81</v>
      </c>
      <c r="H348" t="s">
        <v>58</v>
      </c>
      <c r="I348" t="s">
        <v>53</v>
      </c>
      <c r="J348" t="s">
        <v>48</v>
      </c>
      <c r="K348">
        <v>45</v>
      </c>
      <c r="L348">
        <v>66.61</v>
      </c>
      <c r="M348">
        <v>5</v>
      </c>
      <c r="N348" s="15">
        <f t="shared" si="5"/>
        <v>2997.45</v>
      </c>
      <c r="O348" t="s">
        <v>28</v>
      </c>
      <c r="P348" t="s">
        <v>71</v>
      </c>
      <c r="Q348" t="s">
        <v>30</v>
      </c>
      <c r="R348" t="s">
        <v>42</v>
      </c>
      <c r="S348">
        <v>4</v>
      </c>
      <c r="T348" t="s">
        <v>127</v>
      </c>
    </row>
    <row r="349" spans="1:20">
      <c r="A349">
        <v>348</v>
      </c>
      <c r="B349" s="14">
        <v>45701</v>
      </c>
      <c r="C349" t="s">
        <v>33</v>
      </c>
      <c r="D349" t="s">
        <v>124</v>
      </c>
      <c r="E349" t="s">
        <v>43</v>
      </c>
      <c r="F349" t="s">
        <v>130</v>
      </c>
      <c r="G349" t="s">
        <v>68</v>
      </c>
      <c r="H349" t="s">
        <v>58</v>
      </c>
      <c r="I349" t="s">
        <v>26</v>
      </c>
      <c r="J349" t="s">
        <v>63</v>
      </c>
      <c r="K349">
        <v>36</v>
      </c>
      <c r="L349">
        <v>41.16</v>
      </c>
      <c r="M349">
        <v>5</v>
      </c>
      <c r="N349" s="15">
        <f t="shared" si="5"/>
        <v>1481.76</v>
      </c>
      <c r="O349" t="s">
        <v>54</v>
      </c>
      <c r="P349" t="s">
        <v>64</v>
      </c>
      <c r="Q349" t="s">
        <v>76</v>
      </c>
      <c r="R349" t="s">
        <v>31</v>
      </c>
      <c r="S349">
        <v>2</v>
      </c>
      <c r="T349" t="s">
        <v>131</v>
      </c>
    </row>
    <row r="350" spans="1:20">
      <c r="A350">
        <v>349</v>
      </c>
      <c r="B350" s="14">
        <v>45872</v>
      </c>
      <c r="C350" t="s">
        <v>60</v>
      </c>
      <c r="D350" t="s">
        <v>129</v>
      </c>
      <c r="E350" t="s">
        <v>113</v>
      </c>
      <c r="F350" t="s">
        <v>44</v>
      </c>
      <c r="G350" t="s">
        <v>45</v>
      </c>
      <c r="H350" t="s">
        <v>25</v>
      </c>
      <c r="I350" t="s">
        <v>74</v>
      </c>
      <c r="J350" t="s">
        <v>39</v>
      </c>
      <c r="K350">
        <v>13</v>
      </c>
      <c r="L350">
        <v>5.34</v>
      </c>
      <c r="M350">
        <v>10</v>
      </c>
      <c r="N350" s="15">
        <f t="shared" si="5"/>
        <v>69.42</v>
      </c>
      <c r="O350" t="s">
        <v>28</v>
      </c>
      <c r="P350" t="s">
        <v>71</v>
      </c>
      <c r="Q350" t="s">
        <v>76</v>
      </c>
      <c r="R350" t="s">
        <v>42</v>
      </c>
      <c r="S350">
        <v>5</v>
      </c>
      <c r="T350" t="s">
        <v>131</v>
      </c>
    </row>
    <row r="351" spans="1:20">
      <c r="A351">
        <v>350</v>
      </c>
      <c r="B351" s="14">
        <v>45969</v>
      </c>
      <c r="C351" t="s">
        <v>85</v>
      </c>
      <c r="D351" t="s">
        <v>61</v>
      </c>
      <c r="E351" t="s">
        <v>110</v>
      </c>
      <c r="F351" t="s">
        <v>91</v>
      </c>
      <c r="G351" t="s">
        <v>128</v>
      </c>
      <c r="H351" t="s">
        <v>73</v>
      </c>
      <c r="I351" t="s">
        <v>38</v>
      </c>
      <c r="J351" t="s">
        <v>63</v>
      </c>
      <c r="K351">
        <v>29</v>
      </c>
      <c r="L351">
        <v>12.54</v>
      </c>
      <c r="M351">
        <v>0</v>
      </c>
      <c r="N351" s="15">
        <f t="shared" si="5"/>
        <v>363.66</v>
      </c>
      <c r="O351" t="s">
        <v>28</v>
      </c>
      <c r="P351" t="s">
        <v>64</v>
      </c>
      <c r="Q351" t="s">
        <v>30</v>
      </c>
      <c r="R351" t="s">
        <v>42</v>
      </c>
      <c r="S351">
        <v>3</v>
      </c>
      <c r="T351" t="s">
        <v>125</v>
      </c>
    </row>
    <row r="352" spans="1:20">
      <c r="A352">
        <v>351</v>
      </c>
      <c r="B352" s="14">
        <v>45683</v>
      </c>
      <c r="C352" t="s">
        <v>50</v>
      </c>
      <c r="D352" t="s">
        <v>61</v>
      </c>
      <c r="E352" t="s">
        <v>117</v>
      </c>
      <c r="F352" t="s">
        <v>130</v>
      </c>
      <c r="G352" t="s">
        <v>45</v>
      </c>
      <c r="H352" t="s">
        <v>58</v>
      </c>
      <c r="I352" t="s">
        <v>26</v>
      </c>
      <c r="J352" t="s">
        <v>27</v>
      </c>
      <c r="K352">
        <v>43</v>
      </c>
      <c r="L352">
        <v>59.92</v>
      </c>
      <c r="M352">
        <v>0</v>
      </c>
      <c r="N352" s="15">
        <f t="shared" si="5"/>
        <v>2576.56</v>
      </c>
      <c r="O352" t="s">
        <v>54</v>
      </c>
      <c r="P352" t="s">
        <v>132</v>
      </c>
      <c r="Q352" t="s">
        <v>30</v>
      </c>
      <c r="R352" t="s">
        <v>31</v>
      </c>
      <c r="S352">
        <v>1</v>
      </c>
      <c r="T352" t="s">
        <v>131</v>
      </c>
    </row>
    <row r="353" spans="1:20">
      <c r="A353">
        <v>352</v>
      </c>
      <c r="B353" s="14">
        <v>45749</v>
      </c>
      <c r="C353" t="s">
        <v>50</v>
      </c>
      <c r="D353" t="s">
        <v>124</v>
      </c>
      <c r="E353" t="s">
        <v>72</v>
      </c>
      <c r="F353" t="s">
        <v>91</v>
      </c>
      <c r="G353" t="s">
        <v>128</v>
      </c>
      <c r="H353" t="s">
        <v>58</v>
      </c>
      <c r="I353" t="s">
        <v>47</v>
      </c>
      <c r="J353" t="s">
        <v>39</v>
      </c>
      <c r="K353">
        <v>30</v>
      </c>
      <c r="L353">
        <v>76.19</v>
      </c>
      <c r="M353">
        <v>10</v>
      </c>
      <c r="N353" s="15">
        <f t="shared" si="5"/>
        <v>2285.7</v>
      </c>
      <c r="O353" t="s">
        <v>28</v>
      </c>
      <c r="P353" t="s">
        <v>71</v>
      </c>
      <c r="Q353" t="s">
        <v>30</v>
      </c>
      <c r="R353" t="s">
        <v>42</v>
      </c>
      <c r="S353">
        <v>3</v>
      </c>
      <c r="T353" t="s">
        <v>131</v>
      </c>
    </row>
    <row r="354" spans="1:20">
      <c r="A354">
        <v>353</v>
      </c>
      <c r="B354" s="14">
        <v>45692</v>
      </c>
      <c r="C354" t="s">
        <v>50</v>
      </c>
      <c r="D354" t="s">
        <v>133</v>
      </c>
      <c r="E354" t="s">
        <v>96</v>
      </c>
      <c r="F354" t="s">
        <v>44</v>
      </c>
      <c r="G354" t="s">
        <v>45</v>
      </c>
      <c r="H354" t="s">
        <v>73</v>
      </c>
      <c r="I354" t="s">
        <v>26</v>
      </c>
      <c r="J354" t="s">
        <v>27</v>
      </c>
      <c r="K354">
        <v>45</v>
      </c>
      <c r="L354">
        <v>86.64</v>
      </c>
      <c r="M354">
        <v>10</v>
      </c>
      <c r="N354" s="15">
        <f t="shared" si="5"/>
        <v>3898.8</v>
      </c>
      <c r="O354" t="s">
        <v>28</v>
      </c>
      <c r="P354" t="s">
        <v>64</v>
      </c>
      <c r="Q354" t="s">
        <v>76</v>
      </c>
      <c r="R354" t="s">
        <v>42</v>
      </c>
      <c r="S354">
        <v>1</v>
      </c>
      <c r="T354" t="s">
        <v>131</v>
      </c>
    </row>
    <row r="355" spans="1:20">
      <c r="A355">
        <v>354</v>
      </c>
      <c r="B355" s="14">
        <v>45950</v>
      </c>
      <c r="C355" t="s">
        <v>20</v>
      </c>
      <c r="D355" t="s">
        <v>124</v>
      </c>
      <c r="E355" t="s">
        <v>99</v>
      </c>
      <c r="F355" t="s">
        <v>44</v>
      </c>
      <c r="G355" t="s">
        <v>81</v>
      </c>
      <c r="H355" t="s">
        <v>58</v>
      </c>
      <c r="I355" t="s">
        <v>53</v>
      </c>
      <c r="J355" t="s">
        <v>63</v>
      </c>
      <c r="K355">
        <v>39</v>
      </c>
      <c r="L355">
        <v>85.54</v>
      </c>
      <c r="M355">
        <v>10</v>
      </c>
      <c r="N355" s="15">
        <f t="shared" si="5"/>
        <v>3336.06</v>
      </c>
      <c r="O355" t="s">
        <v>54</v>
      </c>
      <c r="P355" t="s">
        <v>64</v>
      </c>
      <c r="Q355" t="s">
        <v>76</v>
      </c>
      <c r="R355" t="s">
        <v>42</v>
      </c>
      <c r="S355">
        <v>3</v>
      </c>
      <c r="T355" t="s">
        <v>131</v>
      </c>
    </row>
    <row r="356" spans="1:20">
      <c r="A356">
        <v>355</v>
      </c>
      <c r="B356" s="14">
        <v>45910</v>
      </c>
      <c r="C356" t="s">
        <v>50</v>
      </c>
      <c r="D356" t="s">
        <v>61</v>
      </c>
      <c r="E356" t="s">
        <v>123</v>
      </c>
      <c r="F356" t="s">
        <v>91</v>
      </c>
      <c r="G356" t="s">
        <v>128</v>
      </c>
      <c r="H356" t="s">
        <v>46</v>
      </c>
      <c r="I356" t="s">
        <v>26</v>
      </c>
      <c r="J356" t="s">
        <v>27</v>
      </c>
      <c r="K356">
        <v>8</v>
      </c>
      <c r="L356">
        <v>7.28</v>
      </c>
      <c r="M356">
        <v>0</v>
      </c>
      <c r="N356" s="15">
        <f t="shared" si="5"/>
        <v>58.24</v>
      </c>
      <c r="O356" t="s">
        <v>40</v>
      </c>
      <c r="P356" t="s">
        <v>71</v>
      </c>
      <c r="Q356" t="s">
        <v>76</v>
      </c>
      <c r="R356" t="s">
        <v>31</v>
      </c>
      <c r="S356">
        <v>3</v>
      </c>
      <c r="T356" t="s">
        <v>127</v>
      </c>
    </row>
    <row r="357" spans="1:20">
      <c r="A357">
        <v>356</v>
      </c>
      <c r="B357" s="14">
        <v>45944</v>
      </c>
      <c r="C357" t="s">
        <v>50</v>
      </c>
      <c r="D357" t="s">
        <v>124</v>
      </c>
      <c r="E357" t="s">
        <v>110</v>
      </c>
      <c r="F357" t="s">
        <v>44</v>
      </c>
      <c r="G357" t="s">
        <v>128</v>
      </c>
      <c r="H357" t="s">
        <v>25</v>
      </c>
      <c r="I357" t="s">
        <v>53</v>
      </c>
      <c r="J357" t="s">
        <v>48</v>
      </c>
      <c r="K357">
        <v>5</v>
      </c>
      <c r="L357">
        <v>34.24</v>
      </c>
      <c r="M357">
        <v>0</v>
      </c>
      <c r="N357" s="15">
        <f t="shared" si="5"/>
        <v>171.2</v>
      </c>
      <c r="O357" t="s">
        <v>54</v>
      </c>
      <c r="P357" t="s">
        <v>71</v>
      </c>
      <c r="Q357" t="s">
        <v>30</v>
      </c>
      <c r="R357" t="s">
        <v>42</v>
      </c>
      <c r="S357">
        <v>3</v>
      </c>
      <c r="T357" t="s">
        <v>127</v>
      </c>
    </row>
    <row r="358" spans="1:20">
      <c r="A358">
        <v>357</v>
      </c>
      <c r="B358" s="14">
        <v>45860</v>
      </c>
      <c r="C358" t="s">
        <v>20</v>
      </c>
      <c r="D358" t="s">
        <v>126</v>
      </c>
      <c r="E358" t="s">
        <v>123</v>
      </c>
      <c r="F358" t="s">
        <v>44</v>
      </c>
      <c r="G358" t="s">
        <v>24</v>
      </c>
      <c r="H358" t="s">
        <v>25</v>
      </c>
      <c r="I358" t="s">
        <v>53</v>
      </c>
      <c r="J358" t="s">
        <v>48</v>
      </c>
      <c r="K358">
        <v>44</v>
      </c>
      <c r="L358">
        <v>50.52</v>
      </c>
      <c r="M358">
        <v>15</v>
      </c>
      <c r="N358" s="15">
        <f t="shared" si="5"/>
        <v>2222.88</v>
      </c>
      <c r="O358" t="s">
        <v>28</v>
      </c>
      <c r="P358" t="s">
        <v>64</v>
      </c>
      <c r="Q358" t="s">
        <v>76</v>
      </c>
      <c r="R358" t="s">
        <v>31</v>
      </c>
      <c r="S358">
        <v>3</v>
      </c>
      <c r="T358" t="s">
        <v>131</v>
      </c>
    </row>
    <row r="359" spans="1:20">
      <c r="A359">
        <v>358</v>
      </c>
      <c r="B359" s="14">
        <v>45932</v>
      </c>
      <c r="C359" t="s">
        <v>60</v>
      </c>
      <c r="D359" t="s">
        <v>133</v>
      </c>
      <c r="E359" t="s">
        <v>97</v>
      </c>
      <c r="F359" t="s">
        <v>130</v>
      </c>
      <c r="G359" t="s">
        <v>88</v>
      </c>
      <c r="H359" t="s">
        <v>58</v>
      </c>
      <c r="I359" t="s">
        <v>53</v>
      </c>
      <c r="J359" t="s">
        <v>48</v>
      </c>
      <c r="K359">
        <v>36</v>
      </c>
      <c r="L359">
        <v>55.91</v>
      </c>
      <c r="M359">
        <v>5</v>
      </c>
      <c r="N359" s="15">
        <f t="shared" si="5"/>
        <v>2012.76</v>
      </c>
      <c r="O359" t="s">
        <v>54</v>
      </c>
      <c r="P359" t="s">
        <v>132</v>
      </c>
      <c r="Q359" t="s">
        <v>30</v>
      </c>
      <c r="R359" t="s">
        <v>31</v>
      </c>
      <c r="S359">
        <v>3</v>
      </c>
      <c r="T359" t="s">
        <v>131</v>
      </c>
    </row>
    <row r="360" spans="1:20">
      <c r="A360">
        <v>359</v>
      </c>
      <c r="B360" s="14">
        <v>45831</v>
      </c>
      <c r="C360" t="s">
        <v>85</v>
      </c>
      <c r="D360" t="s">
        <v>124</v>
      </c>
      <c r="E360" t="s">
        <v>121</v>
      </c>
      <c r="F360" t="s">
        <v>91</v>
      </c>
      <c r="G360" t="s">
        <v>68</v>
      </c>
      <c r="H360" t="s">
        <v>58</v>
      </c>
      <c r="I360" t="s">
        <v>38</v>
      </c>
      <c r="J360" t="s">
        <v>39</v>
      </c>
      <c r="K360">
        <v>39</v>
      </c>
      <c r="L360">
        <v>16.1</v>
      </c>
      <c r="M360">
        <v>10</v>
      </c>
      <c r="N360" s="15">
        <f t="shared" si="5"/>
        <v>627.9</v>
      </c>
      <c r="O360" t="s">
        <v>54</v>
      </c>
      <c r="P360" t="s">
        <v>71</v>
      </c>
      <c r="Q360" t="s">
        <v>30</v>
      </c>
      <c r="R360" t="s">
        <v>42</v>
      </c>
      <c r="S360">
        <v>1</v>
      </c>
      <c r="T360" t="s">
        <v>131</v>
      </c>
    </row>
    <row r="361" spans="1:20">
      <c r="A361">
        <v>360</v>
      </c>
      <c r="B361" s="14">
        <v>45779</v>
      </c>
      <c r="C361" t="s">
        <v>60</v>
      </c>
      <c r="D361" t="s">
        <v>133</v>
      </c>
      <c r="E361" t="s">
        <v>114</v>
      </c>
      <c r="F361" t="s">
        <v>91</v>
      </c>
      <c r="G361" t="s">
        <v>68</v>
      </c>
      <c r="H361" t="s">
        <v>46</v>
      </c>
      <c r="I361" t="s">
        <v>26</v>
      </c>
      <c r="J361" t="s">
        <v>27</v>
      </c>
      <c r="K361">
        <v>24</v>
      </c>
      <c r="L361">
        <v>79.57</v>
      </c>
      <c r="M361">
        <v>5</v>
      </c>
      <c r="N361" s="15">
        <f t="shared" si="5"/>
        <v>1909.68</v>
      </c>
      <c r="O361" t="s">
        <v>28</v>
      </c>
      <c r="P361" t="s">
        <v>71</v>
      </c>
      <c r="Q361" t="s">
        <v>30</v>
      </c>
      <c r="R361" t="s">
        <v>42</v>
      </c>
      <c r="S361">
        <v>5</v>
      </c>
      <c r="T361" t="s">
        <v>125</v>
      </c>
    </row>
    <row r="362" spans="1:20">
      <c r="A362">
        <v>361</v>
      </c>
      <c r="B362" s="14">
        <v>45755</v>
      </c>
      <c r="C362" t="s">
        <v>60</v>
      </c>
      <c r="D362" t="s">
        <v>133</v>
      </c>
      <c r="E362" t="s">
        <v>113</v>
      </c>
      <c r="F362" t="s">
        <v>91</v>
      </c>
      <c r="G362" t="s">
        <v>45</v>
      </c>
      <c r="H362" t="s">
        <v>46</v>
      </c>
      <c r="I362" t="s">
        <v>26</v>
      </c>
      <c r="J362" t="s">
        <v>27</v>
      </c>
      <c r="K362">
        <v>34</v>
      </c>
      <c r="L362">
        <v>69.29</v>
      </c>
      <c r="M362">
        <v>5</v>
      </c>
      <c r="N362" s="15">
        <f t="shared" si="5"/>
        <v>2355.86</v>
      </c>
      <c r="O362" t="s">
        <v>40</v>
      </c>
      <c r="P362" t="s">
        <v>71</v>
      </c>
      <c r="Q362" t="s">
        <v>76</v>
      </c>
      <c r="R362" t="s">
        <v>42</v>
      </c>
      <c r="S362">
        <v>3</v>
      </c>
      <c r="T362" t="s">
        <v>131</v>
      </c>
    </row>
    <row r="363" spans="1:20">
      <c r="A363">
        <v>362</v>
      </c>
      <c r="B363" s="14">
        <v>45660</v>
      </c>
      <c r="C363" t="s">
        <v>60</v>
      </c>
      <c r="D363" t="s">
        <v>124</v>
      </c>
      <c r="E363" t="s">
        <v>69</v>
      </c>
      <c r="F363" t="s">
        <v>91</v>
      </c>
      <c r="G363" t="s">
        <v>88</v>
      </c>
      <c r="H363" t="s">
        <v>46</v>
      </c>
      <c r="I363" t="s">
        <v>38</v>
      </c>
      <c r="J363" t="s">
        <v>27</v>
      </c>
      <c r="K363">
        <v>7</v>
      </c>
      <c r="L363">
        <v>54.45</v>
      </c>
      <c r="M363">
        <v>10</v>
      </c>
      <c r="N363" s="15">
        <f t="shared" si="5"/>
        <v>381.15</v>
      </c>
      <c r="O363" t="s">
        <v>28</v>
      </c>
      <c r="P363" t="s">
        <v>132</v>
      </c>
      <c r="Q363" t="s">
        <v>76</v>
      </c>
      <c r="R363" t="s">
        <v>42</v>
      </c>
      <c r="S363">
        <v>2</v>
      </c>
      <c r="T363" t="s">
        <v>125</v>
      </c>
    </row>
    <row r="364" spans="1:20">
      <c r="A364">
        <v>363</v>
      </c>
      <c r="B364" s="14">
        <v>45804</v>
      </c>
      <c r="C364" t="s">
        <v>60</v>
      </c>
      <c r="D364" t="s">
        <v>126</v>
      </c>
      <c r="E364" t="s">
        <v>108</v>
      </c>
      <c r="F364" t="s">
        <v>44</v>
      </c>
      <c r="G364" t="s">
        <v>128</v>
      </c>
      <c r="H364" t="s">
        <v>58</v>
      </c>
      <c r="I364" t="s">
        <v>53</v>
      </c>
      <c r="J364" t="s">
        <v>39</v>
      </c>
      <c r="K364">
        <v>11</v>
      </c>
      <c r="L364">
        <v>31</v>
      </c>
      <c r="M364">
        <v>0</v>
      </c>
      <c r="N364" s="15">
        <f t="shared" si="5"/>
        <v>341</v>
      </c>
      <c r="O364" t="s">
        <v>28</v>
      </c>
      <c r="P364" t="s">
        <v>64</v>
      </c>
      <c r="Q364" t="s">
        <v>30</v>
      </c>
      <c r="R364" t="s">
        <v>42</v>
      </c>
      <c r="S364">
        <v>3</v>
      </c>
      <c r="T364" t="s">
        <v>127</v>
      </c>
    </row>
    <row r="365" spans="1:20">
      <c r="A365">
        <v>364</v>
      </c>
      <c r="B365" s="14">
        <v>45730</v>
      </c>
      <c r="C365" t="s">
        <v>20</v>
      </c>
      <c r="D365" t="s">
        <v>61</v>
      </c>
      <c r="E365" t="s">
        <v>72</v>
      </c>
      <c r="F365" t="s">
        <v>91</v>
      </c>
      <c r="G365" t="s">
        <v>24</v>
      </c>
      <c r="H365" t="s">
        <v>25</v>
      </c>
      <c r="I365" t="s">
        <v>74</v>
      </c>
      <c r="J365" t="s">
        <v>48</v>
      </c>
      <c r="K365">
        <v>40</v>
      </c>
      <c r="L365">
        <v>89.76</v>
      </c>
      <c r="M365">
        <v>0</v>
      </c>
      <c r="N365" s="15">
        <f t="shared" si="5"/>
        <v>3590.4</v>
      </c>
      <c r="O365" t="s">
        <v>28</v>
      </c>
      <c r="P365" t="s">
        <v>71</v>
      </c>
      <c r="Q365" t="s">
        <v>76</v>
      </c>
      <c r="R365" t="s">
        <v>31</v>
      </c>
      <c r="S365">
        <v>4</v>
      </c>
      <c r="T365" t="s">
        <v>131</v>
      </c>
    </row>
    <row r="366" spans="1:20">
      <c r="A366">
        <v>365</v>
      </c>
      <c r="B366" s="14">
        <v>45712</v>
      </c>
      <c r="C366" t="s">
        <v>85</v>
      </c>
      <c r="D366" t="s">
        <v>124</v>
      </c>
      <c r="E366" t="s">
        <v>122</v>
      </c>
      <c r="F366" t="s">
        <v>44</v>
      </c>
      <c r="G366" t="s">
        <v>81</v>
      </c>
      <c r="H366" t="s">
        <v>25</v>
      </c>
      <c r="I366" t="s">
        <v>47</v>
      </c>
      <c r="J366" t="s">
        <v>63</v>
      </c>
      <c r="K366">
        <v>40</v>
      </c>
      <c r="L366">
        <v>38.78</v>
      </c>
      <c r="M366">
        <v>10</v>
      </c>
      <c r="N366" s="15">
        <f t="shared" si="5"/>
        <v>1551.2</v>
      </c>
      <c r="O366" t="s">
        <v>40</v>
      </c>
      <c r="P366" t="s">
        <v>71</v>
      </c>
      <c r="Q366" t="s">
        <v>76</v>
      </c>
      <c r="R366" t="s">
        <v>42</v>
      </c>
      <c r="S366">
        <v>2</v>
      </c>
      <c r="T366" t="s">
        <v>131</v>
      </c>
    </row>
    <row r="367" spans="1:20">
      <c r="A367">
        <v>366</v>
      </c>
      <c r="B367" s="14">
        <v>46015</v>
      </c>
      <c r="C367" t="s">
        <v>85</v>
      </c>
      <c r="D367" t="s">
        <v>124</v>
      </c>
      <c r="E367" t="s">
        <v>93</v>
      </c>
      <c r="F367" t="s">
        <v>23</v>
      </c>
      <c r="G367" t="s">
        <v>128</v>
      </c>
      <c r="H367" t="s">
        <v>73</v>
      </c>
      <c r="I367" t="s">
        <v>38</v>
      </c>
      <c r="J367" t="s">
        <v>39</v>
      </c>
      <c r="K367">
        <v>15</v>
      </c>
      <c r="L367">
        <v>18.65</v>
      </c>
      <c r="M367">
        <v>0</v>
      </c>
      <c r="N367" s="15">
        <f t="shared" si="5"/>
        <v>279.75</v>
      </c>
      <c r="O367" t="s">
        <v>54</v>
      </c>
      <c r="P367" t="s">
        <v>132</v>
      </c>
      <c r="Q367" t="s">
        <v>76</v>
      </c>
      <c r="R367" t="s">
        <v>31</v>
      </c>
      <c r="S367">
        <v>3</v>
      </c>
      <c r="T367" t="s">
        <v>127</v>
      </c>
    </row>
    <row r="368" spans="1:20">
      <c r="A368">
        <v>367</v>
      </c>
      <c r="B368" s="14">
        <v>45824</v>
      </c>
      <c r="C368" t="s">
        <v>85</v>
      </c>
      <c r="D368" t="s">
        <v>133</v>
      </c>
      <c r="E368" t="s">
        <v>35</v>
      </c>
      <c r="F368" t="s">
        <v>44</v>
      </c>
      <c r="G368" t="s">
        <v>81</v>
      </c>
      <c r="H368" t="s">
        <v>58</v>
      </c>
      <c r="I368" t="s">
        <v>53</v>
      </c>
      <c r="J368" t="s">
        <v>63</v>
      </c>
      <c r="K368">
        <v>30</v>
      </c>
      <c r="L368">
        <v>85.35</v>
      </c>
      <c r="M368">
        <v>10</v>
      </c>
      <c r="N368" s="15">
        <f t="shared" si="5"/>
        <v>2560.5</v>
      </c>
      <c r="O368" t="s">
        <v>54</v>
      </c>
      <c r="P368" t="s">
        <v>64</v>
      </c>
      <c r="Q368" t="s">
        <v>30</v>
      </c>
      <c r="R368" t="s">
        <v>42</v>
      </c>
      <c r="S368">
        <v>3</v>
      </c>
      <c r="T368" t="s">
        <v>131</v>
      </c>
    </row>
    <row r="369" spans="1:20">
      <c r="A369">
        <v>368</v>
      </c>
      <c r="B369" s="14">
        <v>45824</v>
      </c>
      <c r="C369" t="s">
        <v>33</v>
      </c>
      <c r="D369" t="s">
        <v>124</v>
      </c>
      <c r="E369" t="s">
        <v>52</v>
      </c>
      <c r="F369" t="s">
        <v>23</v>
      </c>
      <c r="G369" t="s">
        <v>68</v>
      </c>
      <c r="H369" t="s">
        <v>73</v>
      </c>
      <c r="I369" t="s">
        <v>38</v>
      </c>
      <c r="J369" t="s">
        <v>63</v>
      </c>
      <c r="K369">
        <v>16</v>
      </c>
      <c r="L369">
        <v>63.98</v>
      </c>
      <c r="M369">
        <v>0</v>
      </c>
      <c r="N369" s="15">
        <f t="shared" si="5"/>
        <v>1023.68</v>
      </c>
      <c r="O369" t="s">
        <v>40</v>
      </c>
      <c r="P369" t="s">
        <v>71</v>
      </c>
      <c r="Q369" t="s">
        <v>76</v>
      </c>
      <c r="R369" t="s">
        <v>31</v>
      </c>
      <c r="S369">
        <v>3</v>
      </c>
      <c r="T369" t="s">
        <v>125</v>
      </c>
    </row>
    <row r="370" spans="1:20">
      <c r="A370">
        <v>369</v>
      </c>
      <c r="B370" s="14">
        <v>46013</v>
      </c>
      <c r="C370" t="s">
        <v>33</v>
      </c>
      <c r="D370" t="s">
        <v>133</v>
      </c>
      <c r="E370" t="s">
        <v>103</v>
      </c>
      <c r="F370" t="s">
        <v>91</v>
      </c>
      <c r="G370" t="s">
        <v>45</v>
      </c>
      <c r="H370" t="s">
        <v>58</v>
      </c>
      <c r="I370" t="s">
        <v>26</v>
      </c>
      <c r="J370" t="s">
        <v>39</v>
      </c>
      <c r="K370">
        <v>43</v>
      </c>
      <c r="L370">
        <v>68.61</v>
      </c>
      <c r="M370">
        <v>0</v>
      </c>
      <c r="N370" s="15">
        <f t="shared" si="5"/>
        <v>2950.23</v>
      </c>
      <c r="O370" t="s">
        <v>28</v>
      </c>
      <c r="P370" t="s">
        <v>71</v>
      </c>
      <c r="Q370" t="s">
        <v>76</v>
      </c>
      <c r="R370" t="s">
        <v>42</v>
      </c>
      <c r="S370">
        <v>5</v>
      </c>
      <c r="T370" t="s">
        <v>131</v>
      </c>
    </row>
    <row r="371" spans="1:20">
      <c r="A371">
        <v>370</v>
      </c>
      <c r="B371" s="14">
        <v>45885</v>
      </c>
      <c r="C371" t="s">
        <v>50</v>
      </c>
      <c r="D371" t="s">
        <v>129</v>
      </c>
      <c r="E371" t="s">
        <v>87</v>
      </c>
      <c r="F371" t="s">
        <v>44</v>
      </c>
      <c r="G371" t="s">
        <v>68</v>
      </c>
      <c r="H371" t="s">
        <v>58</v>
      </c>
      <c r="I371" t="s">
        <v>47</v>
      </c>
      <c r="J371" t="s">
        <v>63</v>
      </c>
      <c r="K371">
        <v>21</v>
      </c>
      <c r="L371">
        <v>51.96</v>
      </c>
      <c r="M371">
        <v>0</v>
      </c>
      <c r="N371" s="15">
        <f t="shared" si="5"/>
        <v>1091.16</v>
      </c>
      <c r="O371" t="s">
        <v>28</v>
      </c>
      <c r="P371" t="s">
        <v>64</v>
      </c>
      <c r="Q371" t="s">
        <v>76</v>
      </c>
      <c r="R371" t="s">
        <v>42</v>
      </c>
      <c r="S371">
        <v>3</v>
      </c>
      <c r="T371" t="s">
        <v>131</v>
      </c>
    </row>
    <row r="372" spans="1:20">
      <c r="A372">
        <v>371</v>
      </c>
      <c r="B372" s="14">
        <v>45733</v>
      </c>
      <c r="C372" t="s">
        <v>20</v>
      </c>
      <c r="D372" t="s">
        <v>61</v>
      </c>
      <c r="E372" t="s">
        <v>80</v>
      </c>
      <c r="F372" t="s">
        <v>91</v>
      </c>
      <c r="G372" t="s">
        <v>45</v>
      </c>
      <c r="H372" t="s">
        <v>73</v>
      </c>
      <c r="I372" t="s">
        <v>47</v>
      </c>
      <c r="J372" t="s">
        <v>63</v>
      </c>
      <c r="K372">
        <v>13</v>
      </c>
      <c r="L372">
        <v>24.54</v>
      </c>
      <c r="M372">
        <v>10</v>
      </c>
      <c r="N372" s="15">
        <f t="shared" si="5"/>
        <v>319.02</v>
      </c>
      <c r="O372" t="s">
        <v>54</v>
      </c>
      <c r="P372" t="s">
        <v>132</v>
      </c>
      <c r="Q372" t="s">
        <v>76</v>
      </c>
      <c r="R372" t="s">
        <v>42</v>
      </c>
      <c r="S372">
        <v>3</v>
      </c>
      <c r="T372" t="s">
        <v>131</v>
      </c>
    </row>
    <row r="373" spans="1:20">
      <c r="A373">
        <v>372</v>
      </c>
      <c r="B373" s="14">
        <v>45956</v>
      </c>
      <c r="C373" t="s">
        <v>20</v>
      </c>
      <c r="D373" t="s">
        <v>126</v>
      </c>
      <c r="E373" t="s">
        <v>111</v>
      </c>
      <c r="F373" t="s">
        <v>44</v>
      </c>
      <c r="G373" t="s">
        <v>24</v>
      </c>
      <c r="H373" t="s">
        <v>46</v>
      </c>
      <c r="I373" t="s">
        <v>74</v>
      </c>
      <c r="J373" t="s">
        <v>48</v>
      </c>
      <c r="K373">
        <v>36</v>
      </c>
      <c r="L373">
        <v>96.95</v>
      </c>
      <c r="M373">
        <v>0</v>
      </c>
      <c r="N373" s="15">
        <f t="shared" si="5"/>
        <v>3490.2</v>
      </c>
      <c r="O373" t="s">
        <v>54</v>
      </c>
      <c r="P373" t="s">
        <v>71</v>
      </c>
      <c r="Q373" t="s">
        <v>30</v>
      </c>
      <c r="R373" t="s">
        <v>31</v>
      </c>
      <c r="S373">
        <v>2</v>
      </c>
      <c r="T373" t="s">
        <v>131</v>
      </c>
    </row>
    <row r="374" spans="1:20">
      <c r="A374">
        <v>373</v>
      </c>
      <c r="B374" s="14">
        <v>46017</v>
      </c>
      <c r="C374" t="s">
        <v>33</v>
      </c>
      <c r="D374" t="s">
        <v>133</v>
      </c>
      <c r="E374" t="s">
        <v>104</v>
      </c>
      <c r="F374" t="s">
        <v>23</v>
      </c>
      <c r="G374" t="s">
        <v>128</v>
      </c>
      <c r="H374" t="s">
        <v>73</v>
      </c>
      <c r="I374" t="s">
        <v>38</v>
      </c>
      <c r="J374" t="s">
        <v>63</v>
      </c>
      <c r="K374">
        <v>28</v>
      </c>
      <c r="L374">
        <v>56.79</v>
      </c>
      <c r="M374">
        <v>5</v>
      </c>
      <c r="N374" s="15">
        <f t="shared" si="5"/>
        <v>1590.12</v>
      </c>
      <c r="O374" t="s">
        <v>28</v>
      </c>
      <c r="P374" t="s">
        <v>64</v>
      </c>
      <c r="Q374" t="s">
        <v>76</v>
      </c>
      <c r="R374" t="s">
        <v>42</v>
      </c>
      <c r="S374">
        <v>4</v>
      </c>
      <c r="T374" t="s">
        <v>127</v>
      </c>
    </row>
    <row r="375" spans="1:20">
      <c r="A375">
        <v>374</v>
      </c>
      <c r="B375" s="14">
        <v>45871</v>
      </c>
      <c r="C375" t="s">
        <v>50</v>
      </c>
      <c r="D375" t="s">
        <v>129</v>
      </c>
      <c r="E375" t="s">
        <v>112</v>
      </c>
      <c r="F375" t="s">
        <v>91</v>
      </c>
      <c r="G375" t="s">
        <v>24</v>
      </c>
      <c r="H375" t="s">
        <v>58</v>
      </c>
      <c r="I375" t="s">
        <v>74</v>
      </c>
      <c r="J375" t="s">
        <v>27</v>
      </c>
      <c r="K375">
        <v>10</v>
      </c>
      <c r="L375">
        <v>73.53</v>
      </c>
      <c r="M375">
        <v>15</v>
      </c>
      <c r="N375" s="15">
        <f t="shared" si="5"/>
        <v>735.3</v>
      </c>
      <c r="O375" t="s">
        <v>28</v>
      </c>
      <c r="P375" t="s">
        <v>64</v>
      </c>
      <c r="Q375" t="s">
        <v>30</v>
      </c>
      <c r="R375" t="s">
        <v>31</v>
      </c>
      <c r="S375">
        <v>3</v>
      </c>
      <c r="T375" t="s">
        <v>131</v>
      </c>
    </row>
    <row r="376" spans="1:20">
      <c r="A376">
        <v>375</v>
      </c>
      <c r="B376" s="14">
        <v>45891</v>
      </c>
      <c r="C376" t="s">
        <v>50</v>
      </c>
      <c r="D376" t="s">
        <v>124</v>
      </c>
      <c r="E376" t="s">
        <v>95</v>
      </c>
      <c r="F376" t="s">
        <v>44</v>
      </c>
      <c r="G376" t="s">
        <v>68</v>
      </c>
      <c r="H376" t="s">
        <v>25</v>
      </c>
      <c r="I376" t="s">
        <v>38</v>
      </c>
      <c r="J376" t="s">
        <v>63</v>
      </c>
      <c r="K376">
        <v>36</v>
      </c>
      <c r="L376">
        <v>82.91</v>
      </c>
      <c r="M376">
        <v>15</v>
      </c>
      <c r="N376" s="15">
        <f t="shared" si="5"/>
        <v>2984.76</v>
      </c>
      <c r="O376" t="s">
        <v>54</v>
      </c>
      <c r="P376" t="s">
        <v>64</v>
      </c>
      <c r="Q376" t="s">
        <v>76</v>
      </c>
      <c r="R376" t="s">
        <v>42</v>
      </c>
      <c r="S376">
        <v>5</v>
      </c>
      <c r="T376" t="s">
        <v>131</v>
      </c>
    </row>
    <row r="377" spans="1:20">
      <c r="A377">
        <v>376</v>
      </c>
      <c r="B377" s="14">
        <v>45953</v>
      </c>
      <c r="C377" t="s">
        <v>85</v>
      </c>
      <c r="D377" t="s">
        <v>61</v>
      </c>
      <c r="E377" t="s">
        <v>113</v>
      </c>
      <c r="F377" t="s">
        <v>91</v>
      </c>
      <c r="G377" t="s">
        <v>128</v>
      </c>
      <c r="H377" t="s">
        <v>58</v>
      </c>
      <c r="I377" t="s">
        <v>53</v>
      </c>
      <c r="J377" t="s">
        <v>63</v>
      </c>
      <c r="K377">
        <v>35</v>
      </c>
      <c r="L377">
        <v>59.75</v>
      </c>
      <c r="M377">
        <v>0</v>
      </c>
      <c r="N377" s="15">
        <f t="shared" si="5"/>
        <v>2091.25</v>
      </c>
      <c r="O377" t="s">
        <v>28</v>
      </c>
      <c r="P377" t="s">
        <v>71</v>
      </c>
      <c r="Q377" t="s">
        <v>30</v>
      </c>
      <c r="R377" t="s">
        <v>31</v>
      </c>
      <c r="S377">
        <v>5</v>
      </c>
      <c r="T377" t="s">
        <v>131</v>
      </c>
    </row>
    <row r="378" spans="1:20">
      <c r="A378">
        <v>377</v>
      </c>
      <c r="B378" s="14">
        <v>46011</v>
      </c>
      <c r="C378" t="s">
        <v>20</v>
      </c>
      <c r="D378" t="s">
        <v>61</v>
      </c>
      <c r="E378" t="s">
        <v>113</v>
      </c>
      <c r="F378" t="s">
        <v>130</v>
      </c>
      <c r="G378" t="s">
        <v>68</v>
      </c>
      <c r="H378" t="s">
        <v>46</v>
      </c>
      <c r="I378" t="s">
        <v>38</v>
      </c>
      <c r="J378" t="s">
        <v>27</v>
      </c>
      <c r="K378">
        <v>34</v>
      </c>
      <c r="L378">
        <v>89.54</v>
      </c>
      <c r="M378">
        <v>0</v>
      </c>
      <c r="N378" s="15">
        <f t="shared" si="5"/>
        <v>3044.36</v>
      </c>
      <c r="O378" t="s">
        <v>40</v>
      </c>
      <c r="P378" t="s">
        <v>71</v>
      </c>
      <c r="Q378" t="s">
        <v>30</v>
      </c>
      <c r="R378" t="s">
        <v>42</v>
      </c>
      <c r="S378">
        <v>4</v>
      </c>
      <c r="T378" t="s">
        <v>127</v>
      </c>
    </row>
    <row r="379" spans="1:20">
      <c r="A379">
        <v>378</v>
      </c>
      <c r="B379" s="14">
        <v>45971</v>
      </c>
      <c r="C379" t="s">
        <v>20</v>
      </c>
      <c r="D379" t="s">
        <v>129</v>
      </c>
      <c r="E379" t="s">
        <v>121</v>
      </c>
      <c r="F379" t="s">
        <v>44</v>
      </c>
      <c r="G379" t="s">
        <v>81</v>
      </c>
      <c r="H379" t="s">
        <v>73</v>
      </c>
      <c r="I379" t="s">
        <v>47</v>
      </c>
      <c r="J379" t="s">
        <v>63</v>
      </c>
      <c r="K379">
        <v>37</v>
      </c>
      <c r="L379">
        <v>74.71</v>
      </c>
      <c r="M379">
        <v>15</v>
      </c>
      <c r="N379" s="15">
        <f t="shared" si="5"/>
        <v>2764.27</v>
      </c>
      <c r="O379" t="s">
        <v>54</v>
      </c>
      <c r="P379" t="s">
        <v>132</v>
      </c>
      <c r="Q379" t="s">
        <v>30</v>
      </c>
      <c r="R379" t="s">
        <v>31</v>
      </c>
      <c r="S379">
        <v>1</v>
      </c>
      <c r="T379" t="s">
        <v>127</v>
      </c>
    </row>
    <row r="380" spans="1:20">
      <c r="A380">
        <v>379</v>
      </c>
      <c r="B380" s="14">
        <v>45946</v>
      </c>
      <c r="C380" t="s">
        <v>60</v>
      </c>
      <c r="D380" t="s">
        <v>124</v>
      </c>
      <c r="E380" t="s">
        <v>104</v>
      </c>
      <c r="F380" t="s">
        <v>44</v>
      </c>
      <c r="G380" t="s">
        <v>68</v>
      </c>
      <c r="H380" t="s">
        <v>25</v>
      </c>
      <c r="I380" t="s">
        <v>47</v>
      </c>
      <c r="J380" t="s">
        <v>27</v>
      </c>
      <c r="K380">
        <v>43</v>
      </c>
      <c r="L380">
        <v>99.08</v>
      </c>
      <c r="M380">
        <v>0</v>
      </c>
      <c r="N380" s="15">
        <f t="shared" si="5"/>
        <v>4260.44</v>
      </c>
      <c r="O380" t="s">
        <v>28</v>
      </c>
      <c r="P380" t="s">
        <v>132</v>
      </c>
      <c r="Q380" t="s">
        <v>76</v>
      </c>
      <c r="R380" t="s">
        <v>31</v>
      </c>
      <c r="S380">
        <v>2</v>
      </c>
      <c r="T380" t="s">
        <v>131</v>
      </c>
    </row>
    <row r="381" spans="1:20">
      <c r="A381">
        <v>380</v>
      </c>
      <c r="B381" s="14">
        <v>45800</v>
      </c>
      <c r="C381" t="s">
        <v>60</v>
      </c>
      <c r="D381" t="s">
        <v>61</v>
      </c>
      <c r="E381" t="s">
        <v>123</v>
      </c>
      <c r="F381" t="s">
        <v>23</v>
      </c>
      <c r="G381" t="s">
        <v>45</v>
      </c>
      <c r="H381" t="s">
        <v>46</v>
      </c>
      <c r="I381" t="s">
        <v>74</v>
      </c>
      <c r="J381" t="s">
        <v>27</v>
      </c>
      <c r="K381">
        <v>39</v>
      </c>
      <c r="L381">
        <v>21.59</v>
      </c>
      <c r="M381">
        <v>0</v>
      </c>
      <c r="N381" s="15">
        <f t="shared" si="5"/>
        <v>842.01</v>
      </c>
      <c r="O381" t="s">
        <v>40</v>
      </c>
      <c r="P381" t="s">
        <v>71</v>
      </c>
      <c r="Q381" t="s">
        <v>30</v>
      </c>
      <c r="R381" t="s">
        <v>31</v>
      </c>
      <c r="S381">
        <v>3</v>
      </c>
      <c r="T381" t="s">
        <v>125</v>
      </c>
    </row>
    <row r="382" spans="1:20">
      <c r="A382">
        <v>381</v>
      </c>
      <c r="B382" s="14">
        <v>45906</v>
      </c>
      <c r="C382" t="s">
        <v>50</v>
      </c>
      <c r="D382" t="s">
        <v>61</v>
      </c>
      <c r="E382" t="s">
        <v>99</v>
      </c>
      <c r="F382" t="s">
        <v>44</v>
      </c>
      <c r="G382" t="s">
        <v>45</v>
      </c>
      <c r="H382" t="s">
        <v>58</v>
      </c>
      <c r="I382" t="s">
        <v>26</v>
      </c>
      <c r="J382" t="s">
        <v>39</v>
      </c>
      <c r="K382">
        <v>32</v>
      </c>
      <c r="L382">
        <v>76.51</v>
      </c>
      <c r="M382">
        <v>15</v>
      </c>
      <c r="N382" s="15">
        <f t="shared" si="5"/>
        <v>2448.32</v>
      </c>
      <c r="O382" t="s">
        <v>28</v>
      </c>
      <c r="P382" t="s">
        <v>64</v>
      </c>
      <c r="Q382" t="s">
        <v>76</v>
      </c>
      <c r="R382" t="s">
        <v>42</v>
      </c>
      <c r="S382">
        <v>3</v>
      </c>
      <c r="T382" t="s">
        <v>125</v>
      </c>
    </row>
    <row r="383" spans="1:20">
      <c r="A383">
        <v>382</v>
      </c>
      <c r="B383" s="14">
        <v>45765</v>
      </c>
      <c r="C383" t="s">
        <v>33</v>
      </c>
      <c r="D383" t="s">
        <v>124</v>
      </c>
      <c r="E383" t="s">
        <v>84</v>
      </c>
      <c r="F383" t="s">
        <v>44</v>
      </c>
      <c r="G383" t="s">
        <v>128</v>
      </c>
      <c r="H383" t="s">
        <v>46</v>
      </c>
      <c r="I383" t="s">
        <v>74</v>
      </c>
      <c r="J383" t="s">
        <v>27</v>
      </c>
      <c r="K383">
        <v>11</v>
      </c>
      <c r="L383">
        <v>49.08</v>
      </c>
      <c r="M383">
        <v>15</v>
      </c>
      <c r="N383" s="15">
        <f t="shared" si="5"/>
        <v>539.88</v>
      </c>
      <c r="O383" t="s">
        <v>54</v>
      </c>
      <c r="P383" t="s">
        <v>71</v>
      </c>
      <c r="Q383" t="s">
        <v>76</v>
      </c>
      <c r="R383" t="s">
        <v>42</v>
      </c>
      <c r="S383">
        <v>3</v>
      </c>
      <c r="T383" t="s">
        <v>131</v>
      </c>
    </row>
    <row r="384" spans="1:20">
      <c r="A384">
        <v>383</v>
      </c>
      <c r="B384" s="14">
        <v>45900</v>
      </c>
      <c r="C384" t="s">
        <v>60</v>
      </c>
      <c r="D384" t="s">
        <v>61</v>
      </c>
      <c r="E384" t="s">
        <v>99</v>
      </c>
      <c r="F384" t="s">
        <v>44</v>
      </c>
      <c r="G384" t="s">
        <v>88</v>
      </c>
      <c r="H384" t="s">
        <v>46</v>
      </c>
      <c r="I384" t="s">
        <v>38</v>
      </c>
      <c r="J384" t="s">
        <v>63</v>
      </c>
      <c r="K384">
        <v>44</v>
      </c>
      <c r="L384">
        <v>34.99</v>
      </c>
      <c r="M384">
        <v>0</v>
      </c>
      <c r="N384" s="15">
        <f t="shared" si="5"/>
        <v>1539.56</v>
      </c>
      <c r="O384" t="s">
        <v>28</v>
      </c>
      <c r="P384" t="s">
        <v>71</v>
      </c>
      <c r="Q384" t="s">
        <v>30</v>
      </c>
      <c r="R384" t="s">
        <v>42</v>
      </c>
      <c r="S384">
        <v>5</v>
      </c>
      <c r="T384" t="s">
        <v>127</v>
      </c>
    </row>
    <row r="385" spans="1:20">
      <c r="A385">
        <v>384</v>
      </c>
      <c r="B385" s="14">
        <v>45829</v>
      </c>
      <c r="C385" t="s">
        <v>60</v>
      </c>
      <c r="D385" t="s">
        <v>129</v>
      </c>
      <c r="E385" t="s">
        <v>106</v>
      </c>
      <c r="F385" t="s">
        <v>23</v>
      </c>
      <c r="G385" t="s">
        <v>128</v>
      </c>
      <c r="H385" t="s">
        <v>58</v>
      </c>
      <c r="I385" t="s">
        <v>38</v>
      </c>
      <c r="J385" t="s">
        <v>63</v>
      </c>
      <c r="K385">
        <v>50</v>
      </c>
      <c r="L385">
        <v>69.15</v>
      </c>
      <c r="M385">
        <v>5</v>
      </c>
      <c r="N385" s="15">
        <f t="shared" si="5"/>
        <v>3457.5</v>
      </c>
      <c r="O385" t="s">
        <v>40</v>
      </c>
      <c r="P385" t="s">
        <v>132</v>
      </c>
      <c r="Q385" t="s">
        <v>76</v>
      </c>
      <c r="R385" t="s">
        <v>42</v>
      </c>
      <c r="S385">
        <v>5</v>
      </c>
      <c r="T385" t="s">
        <v>131</v>
      </c>
    </row>
    <row r="386" spans="1:20">
      <c r="A386">
        <v>385</v>
      </c>
      <c r="B386" s="14">
        <v>46002</v>
      </c>
      <c r="C386" t="s">
        <v>20</v>
      </c>
      <c r="D386" t="s">
        <v>61</v>
      </c>
      <c r="E386" t="s">
        <v>52</v>
      </c>
      <c r="F386" t="s">
        <v>44</v>
      </c>
      <c r="G386" t="s">
        <v>81</v>
      </c>
      <c r="H386" t="s">
        <v>58</v>
      </c>
      <c r="I386" t="s">
        <v>47</v>
      </c>
      <c r="J386" t="s">
        <v>27</v>
      </c>
      <c r="K386">
        <v>44</v>
      </c>
      <c r="L386">
        <v>47.36</v>
      </c>
      <c r="M386">
        <v>5</v>
      </c>
      <c r="N386" s="15">
        <f t="shared" ref="N386:N449" si="6">PRODUCT(K386,L386)</f>
        <v>2083.84</v>
      </c>
      <c r="O386" t="s">
        <v>54</v>
      </c>
      <c r="P386" t="s">
        <v>132</v>
      </c>
      <c r="Q386" t="s">
        <v>76</v>
      </c>
      <c r="R386" t="s">
        <v>31</v>
      </c>
      <c r="S386">
        <v>1</v>
      </c>
      <c r="T386" t="s">
        <v>131</v>
      </c>
    </row>
    <row r="387" spans="1:20">
      <c r="A387">
        <v>386</v>
      </c>
      <c r="B387" s="14">
        <v>45687</v>
      </c>
      <c r="C387" t="s">
        <v>33</v>
      </c>
      <c r="D387" t="s">
        <v>124</v>
      </c>
      <c r="E387" t="s">
        <v>110</v>
      </c>
      <c r="F387" t="s">
        <v>91</v>
      </c>
      <c r="G387" t="s">
        <v>128</v>
      </c>
      <c r="H387" t="s">
        <v>58</v>
      </c>
      <c r="I387" t="s">
        <v>74</v>
      </c>
      <c r="J387" t="s">
        <v>27</v>
      </c>
      <c r="K387">
        <v>39</v>
      </c>
      <c r="L387">
        <v>17.34</v>
      </c>
      <c r="M387">
        <v>0</v>
      </c>
      <c r="N387" s="15">
        <f t="shared" si="6"/>
        <v>676.26</v>
      </c>
      <c r="O387" t="s">
        <v>40</v>
      </c>
      <c r="P387" t="s">
        <v>71</v>
      </c>
      <c r="Q387" t="s">
        <v>76</v>
      </c>
      <c r="R387" t="s">
        <v>42</v>
      </c>
      <c r="S387">
        <v>3</v>
      </c>
      <c r="T387" t="s">
        <v>131</v>
      </c>
    </row>
    <row r="388" spans="1:20">
      <c r="A388">
        <v>387</v>
      </c>
      <c r="B388" s="14">
        <v>45996</v>
      </c>
      <c r="C388" t="s">
        <v>20</v>
      </c>
      <c r="D388" t="s">
        <v>124</v>
      </c>
      <c r="E388" t="s">
        <v>93</v>
      </c>
      <c r="F388" t="s">
        <v>23</v>
      </c>
      <c r="G388" t="s">
        <v>81</v>
      </c>
      <c r="H388" t="s">
        <v>46</v>
      </c>
      <c r="I388" t="s">
        <v>53</v>
      </c>
      <c r="J388" t="s">
        <v>39</v>
      </c>
      <c r="K388">
        <v>50</v>
      </c>
      <c r="L388">
        <v>12.03</v>
      </c>
      <c r="M388">
        <v>0</v>
      </c>
      <c r="N388" s="15">
        <f t="shared" si="6"/>
        <v>601.5</v>
      </c>
      <c r="O388" t="s">
        <v>28</v>
      </c>
      <c r="P388" t="s">
        <v>71</v>
      </c>
      <c r="Q388" t="s">
        <v>30</v>
      </c>
      <c r="R388" t="s">
        <v>31</v>
      </c>
      <c r="S388">
        <v>3</v>
      </c>
      <c r="T388" t="s">
        <v>127</v>
      </c>
    </row>
    <row r="389" spans="1:20">
      <c r="A389">
        <v>388</v>
      </c>
      <c r="B389" s="14">
        <v>45749</v>
      </c>
      <c r="C389" t="s">
        <v>85</v>
      </c>
      <c r="D389" t="s">
        <v>124</v>
      </c>
      <c r="E389" t="s">
        <v>105</v>
      </c>
      <c r="F389" t="s">
        <v>91</v>
      </c>
      <c r="G389" t="s">
        <v>68</v>
      </c>
      <c r="H389" t="s">
        <v>73</v>
      </c>
      <c r="I389" t="s">
        <v>26</v>
      </c>
      <c r="J389" t="s">
        <v>63</v>
      </c>
      <c r="K389">
        <v>7</v>
      </c>
      <c r="L389">
        <v>18.67</v>
      </c>
      <c r="M389">
        <v>15</v>
      </c>
      <c r="N389" s="15">
        <f t="shared" si="6"/>
        <v>130.69</v>
      </c>
      <c r="O389" t="s">
        <v>40</v>
      </c>
      <c r="P389" t="s">
        <v>71</v>
      </c>
      <c r="Q389" t="s">
        <v>76</v>
      </c>
      <c r="R389" t="s">
        <v>42</v>
      </c>
      <c r="S389">
        <v>3</v>
      </c>
      <c r="T389" t="s">
        <v>131</v>
      </c>
    </row>
    <row r="390" spans="1:20">
      <c r="A390">
        <v>389</v>
      </c>
      <c r="B390" s="14">
        <v>45675</v>
      </c>
      <c r="C390" t="s">
        <v>20</v>
      </c>
      <c r="D390" t="s">
        <v>124</v>
      </c>
      <c r="E390" t="s">
        <v>100</v>
      </c>
      <c r="F390" t="s">
        <v>130</v>
      </c>
      <c r="G390" t="s">
        <v>45</v>
      </c>
      <c r="H390" t="s">
        <v>73</v>
      </c>
      <c r="I390" t="s">
        <v>74</v>
      </c>
      <c r="J390" t="s">
        <v>63</v>
      </c>
      <c r="K390">
        <v>10</v>
      </c>
      <c r="L390">
        <v>67.02</v>
      </c>
      <c r="M390">
        <v>0</v>
      </c>
      <c r="N390" s="15">
        <f t="shared" si="6"/>
        <v>670.2</v>
      </c>
      <c r="O390" t="s">
        <v>28</v>
      </c>
      <c r="P390" t="s">
        <v>71</v>
      </c>
      <c r="Q390" t="s">
        <v>30</v>
      </c>
      <c r="R390" t="s">
        <v>31</v>
      </c>
      <c r="S390">
        <v>3</v>
      </c>
      <c r="T390" t="s">
        <v>127</v>
      </c>
    </row>
    <row r="391" spans="1:20">
      <c r="A391">
        <v>390</v>
      </c>
      <c r="B391" s="14">
        <v>45858</v>
      </c>
      <c r="C391" t="s">
        <v>33</v>
      </c>
      <c r="D391" t="s">
        <v>124</v>
      </c>
      <c r="E391" t="s">
        <v>111</v>
      </c>
      <c r="F391" t="s">
        <v>130</v>
      </c>
      <c r="G391" t="s">
        <v>81</v>
      </c>
      <c r="H391" t="s">
        <v>73</v>
      </c>
      <c r="I391" t="s">
        <v>38</v>
      </c>
      <c r="J391" t="s">
        <v>63</v>
      </c>
      <c r="K391">
        <v>47</v>
      </c>
      <c r="L391">
        <v>79.19</v>
      </c>
      <c r="M391">
        <v>0</v>
      </c>
      <c r="N391" s="15">
        <f t="shared" si="6"/>
        <v>3721.93</v>
      </c>
      <c r="O391" t="s">
        <v>40</v>
      </c>
      <c r="P391" t="s">
        <v>71</v>
      </c>
      <c r="Q391" t="s">
        <v>76</v>
      </c>
      <c r="R391" t="s">
        <v>42</v>
      </c>
      <c r="S391">
        <v>4</v>
      </c>
      <c r="T391" t="s">
        <v>131</v>
      </c>
    </row>
    <row r="392" spans="1:20">
      <c r="A392">
        <v>391</v>
      </c>
      <c r="B392" s="14">
        <v>45948</v>
      </c>
      <c r="C392" t="s">
        <v>33</v>
      </c>
      <c r="D392" t="s">
        <v>129</v>
      </c>
      <c r="E392" t="s">
        <v>82</v>
      </c>
      <c r="F392" t="s">
        <v>130</v>
      </c>
      <c r="G392" t="s">
        <v>45</v>
      </c>
      <c r="H392" t="s">
        <v>73</v>
      </c>
      <c r="I392" t="s">
        <v>74</v>
      </c>
      <c r="J392" t="s">
        <v>27</v>
      </c>
      <c r="K392">
        <v>24</v>
      </c>
      <c r="L392">
        <v>55.79</v>
      </c>
      <c r="M392">
        <v>10</v>
      </c>
      <c r="N392" s="15">
        <f t="shared" si="6"/>
        <v>1338.96</v>
      </c>
      <c r="O392" t="s">
        <v>28</v>
      </c>
      <c r="P392" t="s">
        <v>71</v>
      </c>
      <c r="Q392" t="s">
        <v>30</v>
      </c>
      <c r="R392" t="s">
        <v>42</v>
      </c>
      <c r="S392">
        <v>2</v>
      </c>
      <c r="T392" t="s">
        <v>125</v>
      </c>
    </row>
    <row r="393" spans="1:20">
      <c r="A393">
        <v>392</v>
      </c>
      <c r="B393" s="14">
        <v>45941</v>
      </c>
      <c r="C393" t="s">
        <v>20</v>
      </c>
      <c r="D393" t="s">
        <v>133</v>
      </c>
      <c r="E393" t="s">
        <v>112</v>
      </c>
      <c r="F393" t="s">
        <v>91</v>
      </c>
      <c r="G393" t="s">
        <v>45</v>
      </c>
      <c r="H393" t="s">
        <v>73</v>
      </c>
      <c r="I393" t="s">
        <v>74</v>
      </c>
      <c r="J393" t="s">
        <v>48</v>
      </c>
      <c r="K393">
        <v>32</v>
      </c>
      <c r="L393">
        <v>13.06</v>
      </c>
      <c r="M393">
        <v>15</v>
      </c>
      <c r="N393" s="15">
        <f t="shared" si="6"/>
        <v>417.92</v>
      </c>
      <c r="O393" t="s">
        <v>40</v>
      </c>
      <c r="P393" t="s">
        <v>64</v>
      </c>
      <c r="Q393" t="s">
        <v>30</v>
      </c>
      <c r="R393" t="s">
        <v>31</v>
      </c>
      <c r="S393">
        <v>1</v>
      </c>
      <c r="T393" t="s">
        <v>125</v>
      </c>
    </row>
    <row r="394" spans="1:20">
      <c r="A394">
        <v>393</v>
      </c>
      <c r="B394" s="14">
        <v>45908</v>
      </c>
      <c r="C394" t="s">
        <v>85</v>
      </c>
      <c r="D394" t="s">
        <v>124</v>
      </c>
      <c r="E394" t="s">
        <v>121</v>
      </c>
      <c r="F394" t="s">
        <v>130</v>
      </c>
      <c r="G394" t="s">
        <v>45</v>
      </c>
      <c r="H394" t="s">
        <v>73</v>
      </c>
      <c r="I394" t="s">
        <v>47</v>
      </c>
      <c r="J394" t="s">
        <v>63</v>
      </c>
      <c r="K394">
        <v>2</v>
      </c>
      <c r="L394">
        <v>8.52</v>
      </c>
      <c r="M394">
        <v>0</v>
      </c>
      <c r="N394" s="15">
        <f t="shared" si="6"/>
        <v>17.04</v>
      </c>
      <c r="O394" t="s">
        <v>54</v>
      </c>
      <c r="P394" t="s">
        <v>71</v>
      </c>
      <c r="Q394" t="s">
        <v>76</v>
      </c>
      <c r="R394" t="s">
        <v>31</v>
      </c>
      <c r="S394">
        <v>2</v>
      </c>
      <c r="T394" t="s">
        <v>131</v>
      </c>
    </row>
    <row r="395" spans="1:20">
      <c r="A395">
        <v>394</v>
      </c>
      <c r="B395" s="14">
        <v>46005</v>
      </c>
      <c r="C395" t="s">
        <v>50</v>
      </c>
      <c r="D395" t="s">
        <v>61</v>
      </c>
      <c r="E395" t="s">
        <v>121</v>
      </c>
      <c r="F395" t="s">
        <v>91</v>
      </c>
      <c r="G395" t="s">
        <v>128</v>
      </c>
      <c r="H395" t="s">
        <v>58</v>
      </c>
      <c r="I395" t="s">
        <v>26</v>
      </c>
      <c r="J395" t="s">
        <v>27</v>
      </c>
      <c r="K395">
        <v>3</v>
      </c>
      <c r="L395">
        <v>74.87</v>
      </c>
      <c r="M395">
        <v>15</v>
      </c>
      <c r="N395" s="15">
        <f t="shared" si="6"/>
        <v>224.61</v>
      </c>
      <c r="O395" t="s">
        <v>28</v>
      </c>
      <c r="P395" t="s">
        <v>71</v>
      </c>
      <c r="Q395" t="s">
        <v>30</v>
      </c>
      <c r="R395" t="s">
        <v>31</v>
      </c>
      <c r="S395">
        <v>4</v>
      </c>
      <c r="T395" t="s">
        <v>125</v>
      </c>
    </row>
    <row r="396" spans="1:20">
      <c r="A396">
        <v>395</v>
      </c>
      <c r="B396" s="14">
        <v>45665</v>
      </c>
      <c r="C396" t="s">
        <v>50</v>
      </c>
      <c r="D396" t="s">
        <v>124</v>
      </c>
      <c r="E396" t="s">
        <v>117</v>
      </c>
      <c r="F396" t="s">
        <v>23</v>
      </c>
      <c r="G396" t="s">
        <v>88</v>
      </c>
      <c r="H396" t="s">
        <v>73</v>
      </c>
      <c r="I396" t="s">
        <v>47</v>
      </c>
      <c r="J396" t="s">
        <v>39</v>
      </c>
      <c r="K396">
        <v>38</v>
      </c>
      <c r="L396">
        <v>11.08</v>
      </c>
      <c r="M396">
        <v>0</v>
      </c>
      <c r="N396" s="15">
        <f t="shared" si="6"/>
        <v>421.04</v>
      </c>
      <c r="O396" t="s">
        <v>28</v>
      </c>
      <c r="P396" t="s">
        <v>71</v>
      </c>
      <c r="Q396" t="s">
        <v>76</v>
      </c>
      <c r="R396" t="s">
        <v>31</v>
      </c>
      <c r="S396">
        <v>2</v>
      </c>
      <c r="T396" t="s">
        <v>131</v>
      </c>
    </row>
    <row r="397" spans="1:20">
      <c r="A397">
        <v>396</v>
      </c>
      <c r="B397" s="14">
        <v>45830</v>
      </c>
      <c r="C397" t="s">
        <v>50</v>
      </c>
      <c r="D397" t="s">
        <v>61</v>
      </c>
      <c r="E397" t="s">
        <v>22</v>
      </c>
      <c r="F397" t="s">
        <v>130</v>
      </c>
      <c r="G397" t="s">
        <v>81</v>
      </c>
      <c r="H397" t="s">
        <v>46</v>
      </c>
      <c r="I397" t="s">
        <v>74</v>
      </c>
      <c r="J397" t="s">
        <v>39</v>
      </c>
      <c r="K397">
        <v>21</v>
      </c>
      <c r="L397">
        <v>84.46</v>
      </c>
      <c r="M397">
        <v>5</v>
      </c>
      <c r="N397" s="15">
        <f t="shared" si="6"/>
        <v>1773.66</v>
      </c>
      <c r="O397" t="s">
        <v>28</v>
      </c>
      <c r="P397" t="s">
        <v>64</v>
      </c>
      <c r="Q397" t="s">
        <v>30</v>
      </c>
      <c r="R397" t="s">
        <v>31</v>
      </c>
      <c r="S397">
        <v>1</v>
      </c>
      <c r="T397" t="s">
        <v>127</v>
      </c>
    </row>
    <row r="398" spans="1:20">
      <c r="A398">
        <v>397</v>
      </c>
      <c r="B398" s="14">
        <v>45730</v>
      </c>
      <c r="C398" t="s">
        <v>50</v>
      </c>
      <c r="D398" t="s">
        <v>133</v>
      </c>
      <c r="E398" t="s">
        <v>120</v>
      </c>
      <c r="F398" t="s">
        <v>130</v>
      </c>
      <c r="G398" t="s">
        <v>45</v>
      </c>
      <c r="H398" t="s">
        <v>58</v>
      </c>
      <c r="I398" t="s">
        <v>26</v>
      </c>
      <c r="J398" t="s">
        <v>63</v>
      </c>
      <c r="K398">
        <v>16</v>
      </c>
      <c r="L398">
        <v>92.94</v>
      </c>
      <c r="M398">
        <v>0</v>
      </c>
      <c r="N398" s="15">
        <f t="shared" si="6"/>
        <v>1487.04</v>
      </c>
      <c r="O398" t="s">
        <v>40</v>
      </c>
      <c r="P398" t="s">
        <v>71</v>
      </c>
      <c r="Q398" t="s">
        <v>76</v>
      </c>
      <c r="R398" t="s">
        <v>31</v>
      </c>
      <c r="S398">
        <v>1</v>
      </c>
      <c r="T398" t="s">
        <v>131</v>
      </c>
    </row>
    <row r="399" spans="1:20">
      <c r="A399">
        <v>398</v>
      </c>
      <c r="B399" s="14">
        <v>45699</v>
      </c>
      <c r="C399" t="s">
        <v>20</v>
      </c>
      <c r="D399" t="s">
        <v>124</v>
      </c>
      <c r="E399" t="s">
        <v>92</v>
      </c>
      <c r="F399" t="s">
        <v>44</v>
      </c>
      <c r="G399" t="s">
        <v>128</v>
      </c>
      <c r="H399" t="s">
        <v>58</v>
      </c>
      <c r="I399" t="s">
        <v>53</v>
      </c>
      <c r="J399" t="s">
        <v>63</v>
      </c>
      <c r="K399">
        <v>45</v>
      </c>
      <c r="L399">
        <v>81.7</v>
      </c>
      <c r="M399">
        <v>15</v>
      </c>
      <c r="N399" s="15">
        <f t="shared" si="6"/>
        <v>3676.5</v>
      </c>
      <c r="O399" t="s">
        <v>40</v>
      </c>
      <c r="P399" t="s">
        <v>64</v>
      </c>
      <c r="Q399" t="s">
        <v>76</v>
      </c>
      <c r="R399" t="s">
        <v>42</v>
      </c>
      <c r="S399">
        <v>3</v>
      </c>
      <c r="T399" t="s">
        <v>131</v>
      </c>
    </row>
    <row r="400" spans="1:20">
      <c r="A400">
        <v>399</v>
      </c>
      <c r="B400" s="14">
        <v>45868</v>
      </c>
      <c r="C400" t="s">
        <v>50</v>
      </c>
      <c r="D400" t="s">
        <v>61</v>
      </c>
      <c r="E400" t="s">
        <v>123</v>
      </c>
      <c r="F400" t="s">
        <v>130</v>
      </c>
      <c r="G400" t="s">
        <v>88</v>
      </c>
      <c r="H400" t="s">
        <v>58</v>
      </c>
      <c r="I400" t="s">
        <v>26</v>
      </c>
      <c r="J400" t="s">
        <v>63</v>
      </c>
      <c r="K400">
        <v>40</v>
      </c>
      <c r="L400">
        <v>95.28</v>
      </c>
      <c r="M400">
        <v>10</v>
      </c>
      <c r="N400" s="15">
        <f t="shared" si="6"/>
        <v>3811.2</v>
      </c>
      <c r="O400" t="s">
        <v>54</v>
      </c>
      <c r="P400" t="s">
        <v>71</v>
      </c>
      <c r="Q400" t="s">
        <v>30</v>
      </c>
      <c r="R400" t="s">
        <v>42</v>
      </c>
      <c r="S400">
        <v>2</v>
      </c>
      <c r="T400" t="s">
        <v>125</v>
      </c>
    </row>
    <row r="401" spans="1:20">
      <c r="A401">
        <v>400</v>
      </c>
      <c r="B401" s="14">
        <v>45718</v>
      </c>
      <c r="C401" t="s">
        <v>33</v>
      </c>
      <c r="D401" t="s">
        <v>124</v>
      </c>
      <c r="E401" t="s">
        <v>123</v>
      </c>
      <c r="F401" t="s">
        <v>23</v>
      </c>
      <c r="G401" t="s">
        <v>68</v>
      </c>
      <c r="H401" t="s">
        <v>58</v>
      </c>
      <c r="I401" t="s">
        <v>26</v>
      </c>
      <c r="J401" t="s">
        <v>63</v>
      </c>
      <c r="K401">
        <v>50</v>
      </c>
      <c r="L401">
        <v>64.51</v>
      </c>
      <c r="M401">
        <v>5</v>
      </c>
      <c r="N401" s="15">
        <f t="shared" si="6"/>
        <v>3225.5</v>
      </c>
      <c r="O401" t="s">
        <v>54</v>
      </c>
      <c r="P401" t="s">
        <v>71</v>
      </c>
      <c r="Q401" t="s">
        <v>76</v>
      </c>
      <c r="R401" t="s">
        <v>31</v>
      </c>
      <c r="S401">
        <v>2</v>
      </c>
      <c r="T401" t="s">
        <v>131</v>
      </c>
    </row>
    <row r="402" spans="1:20">
      <c r="A402">
        <v>401</v>
      </c>
      <c r="B402" s="14">
        <v>45912</v>
      </c>
      <c r="C402" t="s">
        <v>50</v>
      </c>
      <c r="D402" t="s">
        <v>61</v>
      </c>
      <c r="E402" t="s">
        <v>112</v>
      </c>
      <c r="F402" t="s">
        <v>44</v>
      </c>
      <c r="G402" t="s">
        <v>88</v>
      </c>
      <c r="H402" t="s">
        <v>46</v>
      </c>
      <c r="I402" t="s">
        <v>53</v>
      </c>
      <c r="J402" t="s">
        <v>39</v>
      </c>
      <c r="K402">
        <v>28</v>
      </c>
      <c r="L402">
        <v>28.88</v>
      </c>
      <c r="M402">
        <v>0</v>
      </c>
      <c r="N402" s="15">
        <f t="shared" si="6"/>
        <v>808.64</v>
      </c>
      <c r="O402" t="s">
        <v>28</v>
      </c>
      <c r="P402" t="s">
        <v>71</v>
      </c>
      <c r="Q402" t="s">
        <v>30</v>
      </c>
      <c r="R402" t="s">
        <v>42</v>
      </c>
      <c r="S402">
        <v>1</v>
      </c>
      <c r="T402" t="s">
        <v>125</v>
      </c>
    </row>
    <row r="403" spans="1:20">
      <c r="A403">
        <v>402</v>
      </c>
      <c r="B403" s="14">
        <v>45738</v>
      </c>
      <c r="C403" t="s">
        <v>50</v>
      </c>
      <c r="D403" t="s">
        <v>124</v>
      </c>
      <c r="E403" t="s">
        <v>105</v>
      </c>
      <c r="F403" t="s">
        <v>91</v>
      </c>
      <c r="G403" t="s">
        <v>88</v>
      </c>
      <c r="H403" t="s">
        <v>58</v>
      </c>
      <c r="I403" t="s">
        <v>26</v>
      </c>
      <c r="J403" t="s">
        <v>63</v>
      </c>
      <c r="K403">
        <v>38</v>
      </c>
      <c r="L403">
        <v>60.08</v>
      </c>
      <c r="M403">
        <v>15</v>
      </c>
      <c r="N403" s="15">
        <f t="shared" si="6"/>
        <v>2283.04</v>
      </c>
      <c r="O403" t="s">
        <v>40</v>
      </c>
      <c r="P403" t="s">
        <v>132</v>
      </c>
      <c r="Q403" t="s">
        <v>76</v>
      </c>
      <c r="R403" t="s">
        <v>31</v>
      </c>
      <c r="S403">
        <v>3</v>
      </c>
      <c r="T403" t="s">
        <v>125</v>
      </c>
    </row>
    <row r="404" spans="1:20">
      <c r="A404">
        <v>403</v>
      </c>
      <c r="B404" s="14">
        <v>45708</v>
      </c>
      <c r="C404" t="s">
        <v>50</v>
      </c>
      <c r="D404" t="s">
        <v>124</v>
      </c>
      <c r="E404" t="s">
        <v>97</v>
      </c>
      <c r="F404" t="s">
        <v>91</v>
      </c>
      <c r="G404" t="s">
        <v>81</v>
      </c>
      <c r="H404" t="s">
        <v>25</v>
      </c>
      <c r="I404" t="s">
        <v>74</v>
      </c>
      <c r="J404" t="s">
        <v>63</v>
      </c>
      <c r="K404">
        <v>38</v>
      </c>
      <c r="L404">
        <v>51.02</v>
      </c>
      <c r="M404">
        <v>15</v>
      </c>
      <c r="N404" s="15">
        <f t="shared" si="6"/>
        <v>1938.76</v>
      </c>
      <c r="O404" t="s">
        <v>40</v>
      </c>
      <c r="P404" t="s">
        <v>64</v>
      </c>
      <c r="Q404" t="s">
        <v>76</v>
      </c>
      <c r="R404" t="s">
        <v>31</v>
      </c>
      <c r="S404">
        <v>4</v>
      </c>
      <c r="T404" t="s">
        <v>127</v>
      </c>
    </row>
    <row r="405" spans="1:20">
      <c r="A405">
        <v>404</v>
      </c>
      <c r="B405" s="14">
        <v>45727</v>
      </c>
      <c r="C405" t="s">
        <v>85</v>
      </c>
      <c r="D405" t="s">
        <v>124</v>
      </c>
      <c r="E405" t="s">
        <v>101</v>
      </c>
      <c r="F405" t="s">
        <v>130</v>
      </c>
      <c r="G405" t="s">
        <v>45</v>
      </c>
      <c r="H405" t="s">
        <v>46</v>
      </c>
      <c r="I405" t="s">
        <v>26</v>
      </c>
      <c r="J405" t="s">
        <v>48</v>
      </c>
      <c r="K405">
        <v>9</v>
      </c>
      <c r="L405">
        <v>8.05</v>
      </c>
      <c r="M405">
        <v>0</v>
      </c>
      <c r="N405" s="15">
        <f t="shared" si="6"/>
        <v>72.45</v>
      </c>
      <c r="O405" t="s">
        <v>28</v>
      </c>
      <c r="P405" t="s">
        <v>132</v>
      </c>
      <c r="Q405" t="s">
        <v>76</v>
      </c>
      <c r="R405" t="s">
        <v>31</v>
      </c>
      <c r="S405">
        <v>4</v>
      </c>
      <c r="T405" t="s">
        <v>131</v>
      </c>
    </row>
    <row r="406" spans="1:20">
      <c r="A406">
        <v>405</v>
      </c>
      <c r="B406" s="14">
        <v>45872</v>
      </c>
      <c r="C406" t="s">
        <v>50</v>
      </c>
      <c r="D406" t="s">
        <v>61</v>
      </c>
      <c r="E406" t="s">
        <v>82</v>
      </c>
      <c r="F406" t="s">
        <v>91</v>
      </c>
      <c r="G406" t="s">
        <v>45</v>
      </c>
      <c r="H406" t="s">
        <v>58</v>
      </c>
      <c r="I406" t="s">
        <v>26</v>
      </c>
      <c r="J406" t="s">
        <v>39</v>
      </c>
      <c r="K406">
        <v>37</v>
      </c>
      <c r="L406">
        <v>97.16</v>
      </c>
      <c r="M406">
        <v>5</v>
      </c>
      <c r="N406" s="15">
        <f t="shared" si="6"/>
        <v>3594.92</v>
      </c>
      <c r="O406" t="s">
        <v>28</v>
      </c>
      <c r="P406" t="s">
        <v>71</v>
      </c>
      <c r="Q406" t="s">
        <v>76</v>
      </c>
      <c r="R406" t="s">
        <v>31</v>
      </c>
      <c r="S406">
        <v>5</v>
      </c>
      <c r="T406" t="s">
        <v>131</v>
      </c>
    </row>
    <row r="407" spans="1:20">
      <c r="A407">
        <v>406</v>
      </c>
      <c r="B407" s="14">
        <v>45894</v>
      </c>
      <c r="C407" t="s">
        <v>60</v>
      </c>
      <c r="D407" t="s">
        <v>124</v>
      </c>
      <c r="E407" t="s">
        <v>113</v>
      </c>
      <c r="F407" t="s">
        <v>44</v>
      </c>
      <c r="G407" t="s">
        <v>128</v>
      </c>
      <c r="H407" t="s">
        <v>25</v>
      </c>
      <c r="I407" t="s">
        <v>26</v>
      </c>
      <c r="J407" t="s">
        <v>48</v>
      </c>
      <c r="K407">
        <v>28</v>
      </c>
      <c r="L407">
        <v>60.05</v>
      </c>
      <c r="M407">
        <v>0</v>
      </c>
      <c r="N407" s="15">
        <f t="shared" si="6"/>
        <v>1681.4</v>
      </c>
      <c r="O407" t="s">
        <v>40</v>
      </c>
      <c r="P407" t="s">
        <v>71</v>
      </c>
      <c r="Q407" t="s">
        <v>76</v>
      </c>
      <c r="R407" t="s">
        <v>31</v>
      </c>
      <c r="S407">
        <v>1</v>
      </c>
      <c r="T407" t="s">
        <v>131</v>
      </c>
    </row>
    <row r="408" spans="1:20">
      <c r="A408">
        <v>407</v>
      </c>
      <c r="B408" s="14">
        <v>45916</v>
      </c>
      <c r="C408" t="s">
        <v>20</v>
      </c>
      <c r="D408" t="s">
        <v>133</v>
      </c>
      <c r="E408" t="s">
        <v>99</v>
      </c>
      <c r="F408" t="s">
        <v>44</v>
      </c>
      <c r="G408" t="s">
        <v>81</v>
      </c>
      <c r="H408" t="s">
        <v>58</v>
      </c>
      <c r="I408" t="s">
        <v>38</v>
      </c>
      <c r="J408" t="s">
        <v>63</v>
      </c>
      <c r="K408">
        <v>16</v>
      </c>
      <c r="L408">
        <v>12.89</v>
      </c>
      <c r="M408">
        <v>0</v>
      </c>
      <c r="N408" s="15">
        <f t="shared" si="6"/>
        <v>206.24</v>
      </c>
      <c r="O408" t="s">
        <v>28</v>
      </c>
      <c r="P408" t="s">
        <v>64</v>
      </c>
      <c r="Q408" t="s">
        <v>76</v>
      </c>
      <c r="R408" t="s">
        <v>42</v>
      </c>
      <c r="S408">
        <v>3</v>
      </c>
      <c r="T408" t="s">
        <v>125</v>
      </c>
    </row>
    <row r="409" spans="1:20">
      <c r="A409">
        <v>408</v>
      </c>
      <c r="B409" s="14">
        <v>45989</v>
      </c>
      <c r="C409" t="s">
        <v>20</v>
      </c>
      <c r="D409" t="s">
        <v>124</v>
      </c>
      <c r="E409" t="s">
        <v>115</v>
      </c>
      <c r="F409" t="s">
        <v>130</v>
      </c>
      <c r="G409" t="s">
        <v>45</v>
      </c>
      <c r="H409" t="s">
        <v>25</v>
      </c>
      <c r="I409" t="s">
        <v>38</v>
      </c>
      <c r="J409" t="s">
        <v>27</v>
      </c>
      <c r="K409">
        <v>30</v>
      </c>
      <c r="L409">
        <v>49.06</v>
      </c>
      <c r="M409">
        <v>5</v>
      </c>
      <c r="N409" s="15">
        <f t="shared" si="6"/>
        <v>1471.8</v>
      </c>
      <c r="O409" t="s">
        <v>28</v>
      </c>
      <c r="P409" t="s">
        <v>64</v>
      </c>
      <c r="Q409" t="s">
        <v>30</v>
      </c>
      <c r="R409" t="s">
        <v>42</v>
      </c>
      <c r="S409">
        <v>4</v>
      </c>
      <c r="T409" t="s">
        <v>131</v>
      </c>
    </row>
    <row r="410" spans="1:20">
      <c r="A410">
        <v>409</v>
      </c>
      <c r="B410" s="14">
        <v>45979</v>
      </c>
      <c r="C410" t="s">
        <v>20</v>
      </c>
      <c r="D410" t="s">
        <v>133</v>
      </c>
      <c r="E410" t="s">
        <v>57</v>
      </c>
      <c r="F410" t="s">
        <v>23</v>
      </c>
      <c r="G410" t="s">
        <v>68</v>
      </c>
      <c r="H410" t="s">
        <v>58</v>
      </c>
      <c r="I410" t="s">
        <v>53</v>
      </c>
      <c r="J410" t="s">
        <v>63</v>
      </c>
      <c r="K410">
        <v>49</v>
      </c>
      <c r="L410">
        <v>30.63</v>
      </c>
      <c r="M410">
        <v>0</v>
      </c>
      <c r="N410" s="15">
        <f t="shared" si="6"/>
        <v>1500.87</v>
      </c>
      <c r="O410" t="s">
        <v>40</v>
      </c>
      <c r="P410" t="s">
        <v>71</v>
      </c>
      <c r="Q410" t="s">
        <v>30</v>
      </c>
      <c r="R410" t="s">
        <v>42</v>
      </c>
      <c r="S410">
        <v>1</v>
      </c>
      <c r="T410" t="s">
        <v>127</v>
      </c>
    </row>
    <row r="411" spans="1:20">
      <c r="A411">
        <v>410</v>
      </c>
      <c r="B411" s="14">
        <v>45684</v>
      </c>
      <c r="C411" t="s">
        <v>20</v>
      </c>
      <c r="D411" t="s">
        <v>133</v>
      </c>
      <c r="E411" t="s">
        <v>116</v>
      </c>
      <c r="F411" t="s">
        <v>44</v>
      </c>
      <c r="G411" t="s">
        <v>68</v>
      </c>
      <c r="H411" t="s">
        <v>58</v>
      </c>
      <c r="I411" t="s">
        <v>53</v>
      </c>
      <c r="J411" t="s">
        <v>48</v>
      </c>
      <c r="K411">
        <v>12</v>
      </c>
      <c r="L411">
        <v>66.58</v>
      </c>
      <c r="M411">
        <v>0</v>
      </c>
      <c r="N411" s="15">
        <f t="shared" si="6"/>
        <v>798.96</v>
      </c>
      <c r="O411" t="s">
        <v>40</v>
      </c>
      <c r="P411" t="s">
        <v>64</v>
      </c>
      <c r="Q411" t="s">
        <v>30</v>
      </c>
      <c r="R411" t="s">
        <v>31</v>
      </c>
      <c r="S411">
        <v>5</v>
      </c>
      <c r="T411" t="s">
        <v>131</v>
      </c>
    </row>
    <row r="412" spans="1:20">
      <c r="A412">
        <v>411</v>
      </c>
      <c r="B412" s="14">
        <v>45990</v>
      </c>
      <c r="C412" t="s">
        <v>85</v>
      </c>
      <c r="D412" t="s">
        <v>124</v>
      </c>
      <c r="E412" t="s">
        <v>79</v>
      </c>
      <c r="F412" t="s">
        <v>91</v>
      </c>
      <c r="G412" t="s">
        <v>128</v>
      </c>
      <c r="H412" t="s">
        <v>25</v>
      </c>
      <c r="I412" t="s">
        <v>26</v>
      </c>
      <c r="J412" t="s">
        <v>48</v>
      </c>
      <c r="K412">
        <v>23</v>
      </c>
      <c r="L412">
        <v>90.3</v>
      </c>
      <c r="M412">
        <v>0</v>
      </c>
      <c r="N412" s="15">
        <f t="shared" si="6"/>
        <v>2076.9</v>
      </c>
      <c r="O412" t="s">
        <v>28</v>
      </c>
      <c r="P412" t="s">
        <v>132</v>
      </c>
      <c r="Q412" t="s">
        <v>30</v>
      </c>
      <c r="R412" t="s">
        <v>31</v>
      </c>
      <c r="S412">
        <v>3</v>
      </c>
      <c r="T412" t="s">
        <v>127</v>
      </c>
    </row>
    <row r="413" spans="1:20">
      <c r="A413">
        <v>412</v>
      </c>
      <c r="B413" s="14">
        <v>45889</v>
      </c>
      <c r="C413" t="s">
        <v>85</v>
      </c>
      <c r="D413" t="s">
        <v>126</v>
      </c>
      <c r="E413" t="s">
        <v>99</v>
      </c>
      <c r="F413" t="s">
        <v>44</v>
      </c>
      <c r="G413" t="s">
        <v>81</v>
      </c>
      <c r="H413" t="s">
        <v>58</v>
      </c>
      <c r="I413" t="s">
        <v>47</v>
      </c>
      <c r="J413" t="s">
        <v>48</v>
      </c>
      <c r="K413">
        <v>29</v>
      </c>
      <c r="L413">
        <v>63.99</v>
      </c>
      <c r="M413">
        <v>0</v>
      </c>
      <c r="N413" s="15">
        <f t="shared" si="6"/>
        <v>1855.71</v>
      </c>
      <c r="O413" t="s">
        <v>40</v>
      </c>
      <c r="P413" t="s">
        <v>71</v>
      </c>
      <c r="Q413" t="s">
        <v>30</v>
      </c>
      <c r="R413" t="s">
        <v>31</v>
      </c>
      <c r="S413">
        <v>4</v>
      </c>
      <c r="T413" t="s">
        <v>125</v>
      </c>
    </row>
    <row r="414" spans="1:20">
      <c r="A414">
        <v>413</v>
      </c>
      <c r="B414" s="14">
        <v>45805</v>
      </c>
      <c r="C414" t="s">
        <v>20</v>
      </c>
      <c r="D414" t="s">
        <v>124</v>
      </c>
      <c r="E414" t="s">
        <v>120</v>
      </c>
      <c r="F414" t="s">
        <v>23</v>
      </c>
      <c r="G414" t="s">
        <v>88</v>
      </c>
      <c r="H414" t="s">
        <v>25</v>
      </c>
      <c r="I414" t="s">
        <v>38</v>
      </c>
      <c r="J414" t="s">
        <v>39</v>
      </c>
      <c r="K414">
        <v>14</v>
      </c>
      <c r="L414">
        <v>54.47</v>
      </c>
      <c r="M414">
        <v>0</v>
      </c>
      <c r="N414" s="15">
        <f t="shared" si="6"/>
        <v>762.58</v>
      </c>
      <c r="O414" t="s">
        <v>54</v>
      </c>
      <c r="P414" t="s">
        <v>71</v>
      </c>
      <c r="Q414" t="s">
        <v>76</v>
      </c>
      <c r="R414" t="s">
        <v>42</v>
      </c>
      <c r="S414">
        <v>3</v>
      </c>
      <c r="T414" t="s">
        <v>131</v>
      </c>
    </row>
    <row r="415" spans="1:20">
      <c r="A415">
        <v>414</v>
      </c>
      <c r="B415" s="14">
        <v>45885</v>
      </c>
      <c r="C415" t="s">
        <v>20</v>
      </c>
      <c r="D415" t="s">
        <v>124</v>
      </c>
      <c r="E415" t="s">
        <v>35</v>
      </c>
      <c r="F415" t="s">
        <v>23</v>
      </c>
      <c r="G415" t="s">
        <v>24</v>
      </c>
      <c r="H415" t="s">
        <v>58</v>
      </c>
      <c r="I415" t="s">
        <v>74</v>
      </c>
      <c r="J415" t="s">
        <v>39</v>
      </c>
      <c r="K415">
        <v>34</v>
      </c>
      <c r="L415">
        <v>66.24</v>
      </c>
      <c r="M415">
        <v>15</v>
      </c>
      <c r="N415" s="15">
        <f t="shared" si="6"/>
        <v>2252.16</v>
      </c>
      <c r="O415" t="s">
        <v>54</v>
      </c>
      <c r="P415" t="s">
        <v>132</v>
      </c>
      <c r="Q415" t="s">
        <v>76</v>
      </c>
      <c r="R415" t="s">
        <v>42</v>
      </c>
      <c r="S415">
        <v>4</v>
      </c>
      <c r="T415" t="s">
        <v>131</v>
      </c>
    </row>
    <row r="416" spans="1:20">
      <c r="A416">
        <v>415</v>
      </c>
      <c r="B416" s="14">
        <v>45892</v>
      </c>
      <c r="C416" t="s">
        <v>60</v>
      </c>
      <c r="D416" t="s">
        <v>126</v>
      </c>
      <c r="E416" t="s">
        <v>89</v>
      </c>
      <c r="F416" t="s">
        <v>23</v>
      </c>
      <c r="G416" t="s">
        <v>24</v>
      </c>
      <c r="H416" t="s">
        <v>46</v>
      </c>
      <c r="I416" t="s">
        <v>26</v>
      </c>
      <c r="J416" t="s">
        <v>63</v>
      </c>
      <c r="K416">
        <v>24</v>
      </c>
      <c r="L416">
        <v>97.22</v>
      </c>
      <c r="M416">
        <v>0</v>
      </c>
      <c r="N416" s="15">
        <f t="shared" si="6"/>
        <v>2333.28</v>
      </c>
      <c r="O416" t="s">
        <v>40</v>
      </c>
      <c r="P416" t="s">
        <v>132</v>
      </c>
      <c r="Q416" t="s">
        <v>30</v>
      </c>
      <c r="R416" t="s">
        <v>42</v>
      </c>
      <c r="S416">
        <v>2</v>
      </c>
      <c r="T416" t="s">
        <v>125</v>
      </c>
    </row>
    <row r="417" spans="1:20">
      <c r="A417">
        <v>416</v>
      </c>
      <c r="B417" s="14">
        <v>46022</v>
      </c>
      <c r="C417" t="s">
        <v>33</v>
      </c>
      <c r="D417" t="s">
        <v>129</v>
      </c>
      <c r="E417" t="s">
        <v>92</v>
      </c>
      <c r="F417" t="s">
        <v>91</v>
      </c>
      <c r="G417" t="s">
        <v>128</v>
      </c>
      <c r="H417" t="s">
        <v>25</v>
      </c>
      <c r="I417" t="s">
        <v>26</v>
      </c>
      <c r="J417" t="s">
        <v>39</v>
      </c>
      <c r="K417">
        <v>8</v>
      </c>
      <c r="L417">
        <v>8.91</v>
      </c>
      <c r="M417">
        <v>10</v>
      </c>
      <c r="N417" s="15">
        <f t="shared" si="6"/>
        <v>71.28</v>
      </c>
      <c r="O417" t="s">
        <v>40</v>
      </c>
      <c r="P417" t="s">
        <v>71</v>
      </c>
      <c r="Q417" t="s">
        <v>30</v>
      </c>
      <c r="R417" t="s">
        <v>42</v>
      </c>
      <c r="S417">
        <v>2</v>
      </c>
      <c r="T417" t="s">
        <v>125</v>
      </c>
    </row>
    <row r="418" spans="1:20">
      <c r="A418">
        <v>417</v>
      </c>
      <c r="B418" s="14">
        <v>45945</v>
      </c>
      <c r="C418" t="s">
        <v>20</v>
      </c>
      <c r="D418" t="s">
        <v>124</v>
      </c>
      <c r="E418" t="s">
        <v>112</v>
      </c>
      <c r="F418" t="s">
        <v>23</v>
      </c>
      <c r="G418" t="s">
        <v>45</v>
      </c>
      <c r="H418" t="s">
        <v>25</v>
      </c>
      <c r="I418" t="s">
        <v>53</v>
      </c>
      <c r="J418" t="s">
        <v>63</v>
      </c>
      <c r="K418">
        <v>35</v>
      </c>
      <c r="L418">
        <v>97.67</v>
      </c>
      <c r="M418">
        <v>0</v>
      </c>
      <c r="N418" s="15">
        <f t="shared" si="6"/>
        <v>3418.45</v>
      </c>
      <c r="O418" t="s">
        <v>54</v>
      </c>
      <c r="P418" t="s">
        <v>71</v>
      </c>
      <c r="Q418" t="s">
        <v>30</v>
      </c>
      <c r="R418" t="s">
        <v>42</v>
      </c>
      <c r="S418">
        <v>4</v>
      </c>
      <c r="T418" t="s">
        <v>125</v>
      </c>
    </row>
    <row r="419" spans="1:20">
      <c r="A419">
        <v>418</v>
      </c>
      <c r="B419" s="14">
        <v>45892</v>
      </c>
      <c r="C419" t="s">
        <v>60</v>
      </c>
      <c r="D419" t="s">
        <v>61</v>
      </c>
      <c r="E419" t="s">
        <v>78</v>
      </c>
      <c r="F419" t="s">
        <v>130</v>
      </c>
      <c r="G419" t="s">
        <v>68</v>
      </c>
      <c r="H419" t="s">
        <v>58</v>
      </c>
      <c r="I419" t="s">
        <v>53</v>
      </c>
      <c r="J419" t="s">
        <v>48</v>
      </c>
      <c r="K419">
        <v>31</v>
      </c>
      <c r="L419">
        <v>90.12</v>
      </c>
      <c r="M419">
        <v>0</v>
      </c>
      <c r="N419" s="15">
        <f t="shared" si="6"/>
        <v>2793.72</v>
      </c>
      <c r="O419" t="s">
        <v>40</v>
      </c>
      <c r="P419" t="s">
        <v>71</v>
      </c>
      <c r="Q419" t="s">
        <v>30</v>
      </c>
      <c r="R419" t="s">
        <v>42</v>
      </c>
      <c r="S419">
        <v>1</v>
      </c>
      <c r="T419" t="s">
        <v>131</v>
      </c>
    </row>
    <row r="420" spans="1:20">
      <c r="A420">
        <v>419</v>
      </c>
      <c r="B420" s="14">
        <v>45678</v>
      </c>
      <c r="C420" t="s">
        <v>50</v>
      </c>
      <c r="D420" t="s">
        <v>124</v>
      </c>
      <c r="E420" t="s">
        <v>96</v>
      </c>
      <c r="F420" t="s">
        <v>44</v>
      </c>
      <c r="G420" t="s">
        <v>45</v>
      </c>
      <c r="H420" t="s">
        <v>58</v>
      </c>
      <c r="I420" t="s">
        <v>38</v>
      </c>
      <c r="J420" t="s">
        <v>39</v>
      </c>
      <c r="K420">
        <v>29</v>
      </c>
      <c r="L420">
        <v>38.95</v>
      </c>
      <c r="M420">
        <v>10</v>
      </c>
      <c r="N420" s="15">
        <f t="shared" si="6"/>
        <v>1129.55</v>
      </c>
      <c r="O420" t="s">
        <v>28</v>
      </c>
      <c r="P420" t="s">
        <v>64</v>
      </c>
      <c r="Q420" t="s">
        <v>76</v>
      </c>
      <c r="R420" t="s">
        <v>42</v>
      </c>
      <c r="S420">
        <v>2</v>
      </c>
      <c r="T420" t="s">
        <v>131</v>
      </c>
    </row>
    <row r="421" spans="1:20">
      <c r="A421">
        <v>420</v>
      </c>
      <c r="B421" s="14">
        <v>45700</v>
      </c>
      <c r="C421" t="s">
        <v>33</v>
      </c>
      <c r="D421" t="s">
        <v>61</v>
      </c>
      <c r="E421" t="s">
        <v>80</v>
      </c>
      <c r="F421" t="s">
        <v>130</v>
      </c>
      <c r="G421" t="s">
        <v>128</v>
      </c>
      <c r="H421" t="s">
        <v>58</v>
      </c>
      <c r="I421" t="s">
        <v>47</v>
      </c>
      <c r="J421" t="s">
        <v>63</v>
      </c>
      <c r="K421">
        <v>13</v>
      </c>
      <c r="L421">
        <v>51.59</v>
      </c>
      <c r="M421">
        <v>0</v>
      </c>
      <c r="N421" s="15">
        <f t="shared" si="6"/>
        <v>670.67</v>
      </c>
      <c r="O421" t="s">
        <v>28</v>
      </c>
      <c r="P421" t="s">
        <v>132</v>
      </c>
      <c r="Q421" t="s">
        <v>76</v>
      </c>
      <c r="R421" t="s">
        <v>31</v>
      </c>
      <c r="S421">
        <v>4</v>
      </c>
      <c r="T421" t="s">
        <v>131</v>
      </c>
    </row>
    <row r="422" spans="1:20">
      <c r="A422">
        <v>421</v>
      </c>
      <c r="B422" s="14">
        <v>45847</v>
      </c>
      <c r="C422" t="s">
        <v>85</v>
      </c>
      <c r="D422" t="s">
        <v>129</v>
      </c>
      <c r="E422" t="s">
        <v>78</v>
      </c>
      <c r="F422" t="s">
        <v>23</v>
      </c>
      <c r="G422" t="s">
        <v>45</v>
      </c>
      <c r="H422" t="s">
        <v>46</v>
      </c>
      <c r="I422" t="s">
        <v>53</v>
      </c>
      <c r="J422" t="s">
        <v>63</v>
      </c>
      <c r="K422">
        <v>36</v>
      </c>
      <c r="L422">
        <v>13.32</v>
      </c>
      <c r="M422">
        <v>15</v>
      </c>
      <c r="N422" s="15">
        <f t="shared" si="6"/>
        <v>479.52</v>
      </c>
      <c r="O422" t="s">
        <v>28</v>
      </c>
      <c r="P422" t="s">
        <v>71</v>
      </c>
      <c r="Q422" t="s">
        <v>30</v>
      </c>
      <c r="R422" t="s">
        <v>31</v>
      </c>
      <c r="S422">
        <v>4</v>
      </c>
      <c r="T422" t="s">
        <v>131</v>
      </c>
    </row>
    <row r="423" spans="1:20">
      <c r="A423">
        <v>422</v>
      </c>
      <c r="B423" s="14">
        <v>45870</v>
      </c>
      <c r="C423" t="s">
        <v>50</v>
      </c>
      <c r="D423" t="s">
        <v>61</v>
      </c>
      <c r="E423" t="s">
        <v>98</v>
      </c>
      <c r="F423" t="s">
        <v>91</v>
      </c>
      <c r="G423" t="s">
        <v>88</v>
      </c>
      <c r="H423" t="s">
        <v>25</v>
      </c>
      <c r="I423" t="s">
        <v>26</v>
      </c>
      <c r="J423" t="s">
        <v>48</v>
      </c>
      <c r="K423">
        <v>31</v>
      </c>
      <c r="L423">
        <v>98.9</v>
      </c>
      <c r="M423">
        <v>0</v>
      </c>
      <c r="N423" s="15">
        <f t="shared" si="6"/>
        <v>3065.9</v>
      </c>
      <c r="O423" t="s">
        <v>54</v>
      </c>
      <c r="P423" t="s">
        <v>71</v>
      </c>
      <c r="Q423" t="s">
        <v>76</v>
      </c>
      <c r="R423" t="s">
        <v>31</v>
      </c>
      <c r="S423">
        <v>1</v>
      </c>
      <c r="T423" t="s">
        <v>131</v>
      </c>
    </row>
    <row r="424" spans="1:20">
      <c r="A424">
        <v>423</v>
      </c>
      <c r="B424" s="14">
        <v>45985</v>
      </c>
      <c r="C424" t="s">
        <v>60</v>
      </c>
      <c r="D424" t="s">
        <v>133</v>
      </c>
      <c r="E424" t="s">
        <v>92</v>
      </c>
      <c r="F424" t="s">
        <v>91</v>
      </c>
      <c r="G424" t="s">
        <v>81</v>
      </c>
      <c r="H424" t="s">
        <v>58</v>
      </c>
      <c r="I424" t="s">
        <v>26</v>
      </c>
      <c r="J424" t="s">
        <v>39</v>
      </c>
      <c r="K424">
        <v>12</v>
      </c>
      <c r="L424">
        <v>84.07</v>
      </c>
      <c r="M424">
        <v>10</v>
      </c>
      <c r="N424" s="15">
        <f t="shared" si="6"/>
        <v>1008.84</v>
      </c>
      <c r="O424" t="s">
        <v>28</v>
      </c>
      <c r="P424" t="s">
        <v>71</v>
      </c>
      <c r="Q424" t="s">
        <v>30</v>
      </c>
      <c r="R424" t="s">
        <v>42</v>
      </c>
      <c r="S424">
        <v>3</v>
      </c>
      <c r="T424" t="s">
        <v>131</v>
      </c>
    </row>
    <row r="425" spans="1:20">
      <c r="A425">
        <v>424</v>
      </c>
      <c r="B425" s="14">
        <v>45944</v>
      </c>
      <c r="C425" t="s">
        <v>20</v>
      </c>
      <c r="D425" t="s">
        <v>133</v>
      </c>
      <c r="E425" t="s">
        <v>107</v>
      </c>
      <c r="F425" t="s">
        <v>44</v>
      </c>
      <c r="G425" t="s">
        <v>88</v>
      </c>
      <c r="H425" t="s">
        <v>25</v>
      </c>
      <c r="I425" t="s">
        <v>53</v>
      </c>
      <c r="J425" t="s">
        <v>48</v>
      </c>
      <c r="K425">
        <v>41</v>
      </c>
      <c r="L425">
        <v>84.25</v>
      </c>
      <c r="M425">
        <v>15</v>
      </c>
      <c r="N425" s="15">
        <f t="shared" si="6"/>
        <v>3454.25</v>
      </c>
      <c r="O425" t="s">
        <v>28</v>
      </c>
      <c r="P425" t="s">
        <v>132</v>
      </c>
      <c r="Q425" t="s">
        <v>76</v>
      </c>
      <c r="R425" t="s">
        <v>31</v>
      </c>
      <c r="S425">
        <v>4</v>
      </c>
      <c r="T425" t="s">
        <v>125</v>
      </c>
    </row>
    <row r="426" spans="1:20">
      <c r="A426">
        <v>425</v>
      </c>
      <c r="B426" s="14">
        <v>45672</v>
      </c>
      <c r="C426" t="s">
        <v>20</v>
      </c>
      <c r="D426" t="s">
        <v>61</v>
      </c>
      <c r="E426" t="s">
        <v>86</v>
      </c>
      <c r="F426" t="s">
        <v>44</v>
      </c>
      <c r="G426" t="s">
        <v>88</v>
      </c>
      <c r="H426" t="s">
        <v>58</v>
      </c>
      <c r="I426" t="s">
        <v>53</v>
      </c>
      <c r="J426" t="s">
        <v>63</v>
      </c>
      <c r="K426">
        <v>37</v>
      </c>
      <c r="L426">
        <v>46.43</v>
      </c>
      <c r="M426">
        <v>10</v>
      </c>
      <c r="N426" s="15">
        <f t="shared" si="6"/>
        <v>1717.91</v>
      </c>
      <c r="O426" t="s">
        <v>28</v>
      </c>
      <c r="P426" t="s">
        <v>71</v>
      </c>
      <c r="Q426" t="s">
        <v>30</v>
      </c>
      <c r="R426" t="s">
        <v>42</v>
      </c>
      <c r="S426">
        <v>4</v>
      </c>
      <c r="T426" t="s">
        <v>131</v>
      </c>
    </row>
    <row r="427" spans="1:20">
      <c r="A427">
        <v>426</v>
      </c>
      <c r="B427" s="14">
        <v>45790</v>
      </c>
      <c r="C427" t="s">
        <v>50</v>
      </c>
      <c r="D427" t="s">
        <v>126</v>
      </c>
      <c r="E427" t="s">
        <v>117</v>
      </c>
      <c r="F427" t="s">
        <v>91</v>
      </c>
      <c r="G427" t="s">
        <v>45</v>
      </c>
      <c r="H427" t="s">
        <v>73</v>
      </c>
      <c r="I427" t="s">
        <v>26</v>
      </c>
      <c r="J427" t="s">
        <v>48</v>
      </c>
      <c r="K427">
        <v>11</v>
      </c>
      <c r="L427">
        <v>10.02</v>
      </c>
      <c r="M427">
        <v>10</v>
      </c>
      <c r="N427" s="15">
        <f t="shared" si="6"/>
        <v>110.22</v>
      </c>
      <c r="O427" t="s">
        <v>28</v>
      </c>
      <c r="P427" t="s">
        <v>132</v>
      </c>
      <c r="Q427" t="s">
        <v>30</v>
      </c>
      <c r="R427" t="s">
        <v>42</v>
      </c>
      <c r="S427">
        <v>3</v>
      </c>
      <c r="T427" t="s">
        <v>131</v>
      </c>
    </row>
    <row r="428" spans="1:20">
      <c r="A428">
        <v>427</v>
      </c>
      <c r="B428" s="14">
        <v>45921</v>
      </c>
      <c r="C428" t="s">
        <v>50</v>
      </c>
      <c r="D428" t="s">
        <v>61</v>
      </c>
      <c r="E428" t="s">
        <v>104</v>
      </c>
      <c r="F428" t="s">
        <v>91</v>
      </c>
      <c r="G428" t="s">
        <v>88</v>
      </c>
      <c r="H428" t="s">
        <v>58</v>
      </c>
      <c r="I428" t="s">
        <v>26</v>
      </c>
      <c r="J428" t="s">
        <v>48</v>
      </c>
      <c r="K428">
        <v>21</v>
      </c>
      <c r="L428">
        <v>83.55</v>
      </c>
      <c r="M428">
        <v>10</v>
      </c>
      <c r="N428" s="15">
        <f t="shared" si="6"/>
        <v>1754.55</v>
      </c>
      <c r="O428" t="s">
        <v>54</v>
      </c>
      <c r="P428" t="s">
        <v>132</v>
      </c>
      <c r="Q428" t="s">
        <v>30</v>
      </c>
      <c r="R428" t="s">
        <v>42</v>
      </c>
      <c r="S428">
        <v>5</v>
      </c>
      <c r="T428" t="s">
        <v>127</v>
      </c>
    </row>
    <row r="429" spans="1:20">
      <c r="A429">
        <v>428</v>
      </c>
      <c r="B429" s="14">
        <v>45731</v>
      </c>
      <c r="C429" t="s">
        <v>20</v>
      </c>
      <c r="D429" t="s">
        <v>61</v>
      </c>
      <c r="E429" t="s">
        <v>99</v>
      </c>
      <c r="F429" t="s">
        <v>23</v>
      </c>
      <c r="G429" t="s">
        <v>45</v>
      </c>
      <c r="H429" t="s">
        <v>73</v>
      </c>
      <c r="I429" t="s">
        <v>38</v>
      </c>
      <c r="J429" t="s">
        <v>48</v>
      </c>
      <c r="K429">
        <v>11</v>
      </c>
      <c r="L429">
        <v>14.73</v>
      </c>
      <c r="M429">
        <v>5</v>
      </c>
      <c r="N429" s="15">
        <f t="shared" si="6"/>
        <v>162.03</v>
      </c>
      <c r="O429" t="s">
        <v>40</v>
      </c>
      <c r="P429" t="s">
        <v>64</v>
      </c>
      <c r="Q429" t="s">
        <v>30</v>
      </c>
      <c r="R429" t="s">
        <v>42</v>
      </c>
      <c r="S429">
        <v>4</v>
      </c>
      <c r="T429" t="s">
        <v>131</v>
      </c>
    </row>
    <row r="430" spans="1:20">
      <c r="A430">
        <v>429</v>
      </c>
      <c r="B430" s="14">
        <v>45717</v>
      </c>
      <c r="C430" t="s">
        <v>50</v>
      </c>
      <c r="D430" t="s">
        <v>61</v>
      </c>
      <c r="E430" t="s">
        <v>35</v>
      </c>
      <c r="F430" t="s">
        <v>44</v>
      </c>
      <c r="G430" t="s">
        <v>45</v>
      </c>
      <c r="H430" t="s">
        <v>46</v>
      </c>
      <c r="I430" t="s">
        <v>53</v>
      </c>
      <c r="J430" t="s">
        <v>39</v>
      </c>
      <c r="K430">
        <v>29</v>
      </c>
      <c r="L430">
        <v>89.52</v>
      </c>
      <c r="M430">
        <v>0</v>
      </c>
      <c r="N430" s="15">
        <f t="shared" si="6"/>
        <v>2596.08</v>
      </c>
      <c r="O430" t="s">
        <v>54</v>
      </c>
      <c r="P430" t="s">
        <v>64</v>
      </c>
      <c r="Q430" t="s">
        <v>30</v>
      </c>
      <c r="R430" t="s">
        <v>31</v>
      </c>
      <c r="S430">
        <v>5</v>
      </c>
      <c r="T430" t="s">
        <v>131</v>
      </c>
    </row>
    <row r="431" spans="1:20">
      <c r="A431">
        <v>430</v>
      </c>
      <c r="B431" s="14">
        <v>45771</v>
      </c>
      <c r="C431" t="s">
        <v>50</v>
      </c>
      <c r="D431" t="s">
        <v>61</v>
      </c>
      <c r="E431" t="s">
        <v>57</v>
      </c>
      <c r="F431" t="s">
        <v>91</v>
      </c>
      <c r="G431" t="s">
        <v>128</v>
      </c>
      <c r="H431" t="s">
        <v>25</v>
      </c>
      <c r="I431" t="s">
        <v>53</v>
      </c>
      <c r="J431" t="s">
        <v>39</v>
      </c>
      <c r="K431">
        <v>14</v>
      </c>
      <c r="L431">
        <v>17.37</v>
      </c>
      <c r="M431">
        <v>0</v>
      </c>
      <c r="N431" s="15">
        <f t="shared" si="6"/>
        <v>243.18</v>
      </c>
      <c r="O431" t="s">
        <v>28</v>
      </c>
      <c r="P431" t="s">
        <v>71</v>
      </c>
      <c r="Q431" t="s">
        <v>30</v>
      </c>
      <c r="R431" t="s">
        <v>31</v>
      </c>
      <c r="S431">
        <v>4</v>
      </c>
      <c r="T431" t="s">
        <v>131</v>
      </c>
    </row>
    <row r="432" spans="1:20">
      <c r="A432">
        <v>431</v>
      </c>
      <c r="B432" s="14">
        <v>45679</v>
      </c>
      <c r="C432" t="s">
        <v>50</v>
      </c>
      <c r="D432" t="s">
        <v>124</v>
      </c>
      <c r="E432" t="s">
        <v>118</v>
      </c>
      <c r="F432" t="s">
        <v>130</v>
      </c>
      <c r="G432" t="s">
        <v>68</v>
      </c>
      <c r="H432" t="s">
        <v>58</v>
      </c>
      <c r="I432" t="s">
        <v>74</v>
      </c>
      <c r="J432" t="s">
        <v>63</v>
      </c>
      <c r="K432">
        <v>8</v>
      </c>
      <c r="L432">
        <v>91.31</v>
      </c>
      <c r="M432">
        <v>0</v>
      </c>
      <c r="N432" s="15">
        <f t="shared" si="6"/>
        <v>730.48</v>
      </c>
      <c r="O432" t="s">
        <v>28</v>
      </c>
      <c r="P432" t="s">
        <v>132</v>
      </c>
      <c r="Q432" t="s">
        <v>30</v>
      </c>
      <c r="R432" t="s">
        <v>31</v>
      </c>
      <c r="S432">
        <v>1</v>
      </c>
      <c r="T432" t="s">
        <v>125</v>
      </c>
    </row>
    <row r="433" spans="1:20">
      <c r="A433">
        <v>432</v>
      </c>
      <c r="B433" s="14">
        <v>45958</v>
      </c>
      <c r="C433" t="s">
        <v>50</v>
      </c>
      <c r="D433" t="s">
        <v>61</v>
      </c>
      <c r="E433" t="s">
        <v>112</v>
      </c>
      <c r="F433" t="s">
        <v>23</v>
      </c>
      <c r="G433" t="s">
        <v>88</v>
      </c>
      <c r="H433" t="s">
        <v>58</v>
      </c>
      <c r="I433" t="s">
        <v>26</v>
      </c>
      <c r="J433" t="s">
        <v>48</v>
      </c>
      <c r="K433">
        <v>38</v>
      </c>
      <c r="L433">
        <v>38.04</v>
      </c>
      <c r="M433">
        <v>5</v>
      </c>
      <c r="N433" s="15">
        <f t="shared" si="6"/>
        <v>1445.52</v>
      </c>
      <c r="O433" t="s">
        <v>40</v>
      </c>
      <c r="P433" t="s">
        <v>71</v>
      </c>
      <c r="Q433" t="s">
        <v>30</v>
      </c>
      <c r="R433" t="s">
        <v>42</v>
      </c>
      <c r="S433">
        <v>1</v>
      </c>
      <c r="T433" t="s">
        <v>125</v>
      </c>
    </row>
    <row r="434" spans="1:20">
      <c r="A434">
        <v>433</v>
      </c>
      <c r="B434" s="14">
        <v>45756</v>
      </c>
      <c r="C434" t="s">
        <v>60</v>
      </c>
      <c r="D434" t="s">
        <v>61</v>
      </c>
      <c r="E434" t="s">
        <v>79</v>
      </c>
      <c r="F434" t="s">
        <v>91</v>
      </c>
      <c r="G434" t="s">
        <v>88</v>
      </c>
      <c r="H434" t="s">
        <v>58</v>
      </c>
      <c r="I434" t="s">
        <v>26</v>
      </c>
      <c r="J434" t="s">
        <v>63</v>
      </c>
      <c r="K434">
        <v>24</v>
      </c>
      <c r="L434">
        <v>71.32</v>
      </c>
      <c r="M434">
        <v>5</v>
      </c>
      <c r="N434" s="15">
        <f t="shared" si="6"/>
        <v>1711.68</v>
      </c>
      <c r="O434" t="s">
        <v>28</v>
      </c>
      <c r="P434" t="s">
        <v>71</v>
      </c>
      <c r="Q434" t="s">
        <v>76</v>
      </c>
      <c r="R434" t="s">
        <v>42</v>
      </c>
      <c r="S434">
        <v>4</v>
      </c>
      <c r="T434" t="s">
        <v>131</v>
      </c>
    </row>
    <row r="435" spans="1:20">
      <c r="A435">
        <v>434</v>
      </c>
      <c r="B435" s="14">
        <v>45767</v>
      </c>
      <c r="C435" t="s">
        <v>33</v>
      </c>
      <c r="D435" t="s">
        <v>61</v>
      </c>
      <c r="E435" t="s">
        <v>97</v>
      </c>
      <c r="F435" t="s">
        <v>44</v>
      </c>
      <c r="G435" t="s">
        <v>45</v>
      </c>
      <c r="H435" t="s">
        <v>58</v>
      </c>
      <c r="I435" t="s">
        <v>38</v>
      </c>
      <c r="J435" t="s">
        <v>27</v>
      </c>
      <c r="K435">
        <v>34</v>
      </c>
      <c r="L435">
        <v>17.91</v>
      </c>
      <c r="M435">
        <v>10</v>
      </c>
      <c r="N435" s="15">
        <f t="shared" si="6"/>
        <v>608.94</v>
      </c>
      <c r="O435" t="s">
        <v>54</v>
      </c>
      <c r="P435" t="s">
        <v>71</v>
      </c>
      <c r="Q435" t="s">
        <v>30</v>
      </c>
      <c r="R435" t="s">
        <v>42</v>
      </c>
      <c r="S435">
        <v>4</v>
      </c>
      <c r="T435" t="s">
        <v>131</v>
      </c>
    </row>
    <row r="436" spans="1:20">
      <c r="A436">
        <v>435</v>
      </c>
      <c r="B436" s="14">
        <v>45855</v>
      </c>
      <c r="C436" t="s">
        <v>60</v>
      </c>
      <c r="D436" t="s">
        <v>133</v>
      </c>
      <c r="E436" t="s">
        <v>95</v>
      </c>
      <c r="F436" t="s">
        <v>130</v>
      </c>
      <c r="G436" t="s">
        <v>45</v>
      </c>
      <c r="H436" t="s">
        <v>73</v>
      </c>
      <c r="I436" t="s">
        <v>26</v>
      </c>
      <c r="J436" t="s">
        <v>63</v>
      </c>
      <c r="K436">
        <v>19</v>
      </c>
      <c r="L436">
        <v>98.57</v>
      </c>
      <c r="M436">
        <v>15</v>
      </c>
      <c r="N436" s="15">
        <f t="shared" si="6"/>
        <v>1872.83</v>
      </c>
      <c r="O436" t="s">
        <v>40</v>
      </c>
      <c r="P436" t="s">
        <v>71</v>
      </c>
      <c r="Q436" t="s">
        <v>76</v>
      </c>
      <c r="R436" t="s">
        <v>42</v>
      </c>
      <c r="S436">
        <v>3</v>
      </c>
      <c r="T436" t="s">
        <v>125</v>
      </c>
    </row>
    <row r="437" spans="1:20">
      <c r="A437">
        <v>436</v>
      </c>
      <c r="B437" s="14">
        <v>45664</v>
      </c>
      <c r="C437" t="s">
        <v>20</v>
      </c>
      <c r="D437" t="s">
        <v>133</v>
      </c>
      <c r="E437" t="s">
        <v>69</v>
      </c>
      <c r="F437" t="s">
        <v>44</v>
      </c>
      <c r="G437" t="s">
        <v>81</v>
      </c>
      <c r="H437" t="s">
        <v>73</v>
      </c>
      <c r="I437" t="s">
        <v>47</v>
      </c>
      <c r="J437" t="s">
        <v>27</v>
      </c>
      <c r="K437">
        <v>8</v>
      </c>
      <c r="L437">
        <v>18.62</v>
      </c>
      <c r="M437">
        <v>15</v>
      </c>
      <c r="N437" s="15">
        <f t="shared" si="6"/>
        <v>148.96</v>
      </c>
      <c r="O437" t="s">
        <v>28</v>
      </c>
      <c r="P437" t="s">
        <v>64</v>
      </c>
      <c r="Q437" t="s">
        <v>30</v>
      </c>
      <c r="R437" t="s">
        <v>42</v>
      </c>
      <c r="S437">
        <v>2</v>
      </c>
      <c r="T437" t="s">
        <v>127</v>
      </c>
    </row>
    <row r="438" spans="1:20">
      <c r="A438">
        <v>437</v>
      </c>
      <c r="B438" s="14">
        <v>45760</v>
      </c>
      <c r="C438" t="s">
        <v>33</v>
      </c>
      <c r="D438" t="s">
        <v>61</v>
      </c>
      <c r="E438" t="s">
        <v>87</v>
      </c>
      <c r="F438" t="s">
        <v>44</v>
      </c>
      <c r="G438" t="s">
        <v>24</v>
      </c>
      <c r="H438" t="s">
        <v>73</v>
      </c>
      <c r="I438" t="s">
        <v>38</v>
      </c>
      <c r="J438" t="s">
        <v>48</v>
      </c>
      <c r="K438">
        <v>49</v>
      </c>
      <c r="L438">
        <v>72.78</v>
      </c>
      <c r="M438">
        <v>0</v>
      </c>
      <c r="N438" s="15">
        <f t="shared" si="6"/>
        <v>3566.22</v>
      </c>
      <c r="O438" t="s">
        <v>54</v>
      </c>
      <c r="P438" t="s">
        <v>71</v>
      </c>
      <c r="Q438" t="s">
        <v>30</v>
      </c>
      <c r="R438" t="s">
        <v>42</v>
      </c>
      <c r="S438">
        <v>5</v>
      </c>
      <c r="T438" t="s">
        <v>131</v>
      </c>
    </row>
    <row r="439" spans="1:20">
      <c r="A439">
        <v>438</v>
      </c>
      <c r="B439" s="14">
        <v>45906</v>
      </c>
      <c r="C439" t="s">
        <v>33</v>
      </c>
      <c r="D439" t="s">
        <v>129</v>
      </c>
      <c r="E439" t="s">
        <v>90</v>
      </c>
      <c r="F439" t="s">
        <v>44</v>
      </c>
      <c r="G439" t="s">
        <v>88</v>
      </c>
      <c r="H439" t="s">
        <v>58</v>
      </c>
      <c r="I439" t="s">
        <v>53</v>
      </c>
      <c r="J439" t="s">
        <v>63</v>
      </c>
      <c r="K439">
        <v>32</v>
      </c>
      <c r="L439">
        <v>26.93</v>
      </c>
      <c r="M439">
        <v>5</v>
      </c>
      <c r="N439" s="15">
        <f t="shared" si="6"/>
        <v>861.76</v>
      </c>
      <c r="O439" t="s">
        <v>28</v>
      </c>
      <c r="P439" t="s">
        <v>71</v>
      </c>
      <c r="Q439" t="s">
        <v>30</v>
      </c>
      <c r="R439" t="s">
        <v>31</v>
      </c>
      <c r="S439">
        <v>4</v>
      </c>
      <c r="T439" t="s">
        <v>131</v>
      </c>
    </row>
    <row r="440" spans="1:20">
      <c r="A440">
        <v>439</v>
      </c>
      <c r="B440" s="14">
        <v>45749</v>
      </c>
      <c r="C440" t="s">
        <v>85</v>
      </c>
      <c r="D440" t="s">
        <v>126</v>
      </c>
      <c r="E440" t="s">
        <v>69</v>
      </c>
      <c r="F440" t="s">
        <v>23</v>
      </c>
      <c r="G440" t="s">
        <v>24</v>
      </c>
      <c r="H440" t="s">
        <v>46</v>
      </c>
      <c r="I440" t="s">
        <v>47</v>
      </c>
      <c r="J440" t="s">
        <v>27</v>
      </c>
      <c r="K440">
        <v>49</v>
      </c>
      <c r="L440">
        <v>12.27</v>
      </c>
      <c r="M440">
        <v>0</v>
      </c>
      <c r="N440" s="15">
        <f t="shared" si="6"/>
        <v>601.23</v>
      </c>
      <c r="O440" t="s">
        <v>28</v>
      </c>
      <c r="P440" t="s">
        <v>71</v>
      </c>
      <c r="Q440" t="s">
        <v>76</v>
      </c>
      <c r="R440" t="s">
        <v>42</v>
      </c>
      <c r="S440">
        <v>5</v>
      </c>
      <c r="T440" t="s">
        <v>131</v>
      </c>
    </row>
    <row r="441" spans="1:20">
      <c r="A441">
        <v>440</v>
      </c>
      <c r="B441" s="14">
        <v>45909</v>
      </c>
      <c r="C441" t="s">
        <v>33</v>
      </c>
      <c r="D441" t="s">
        <v>129</v>
      </c>
      <c r="E441" t="s">
        <v>121</v>
      </c>
      <c r="F441" t="s">
        <v>23</v>
      </c>
      <c r="G441" t="s">
        <v>68</v>
      </c>
      <c r="H441" t="s">
        <v>58</v>
      </c>
      <c r="I441" t="s">
        <v>74</v>
      </c>
      <c r="J441" t="s">
        <v>27</v>
      </c>
      <c r="K441">
        <v>28</v>
      </c>
      <c r="L441">
        <v>88.61</v>
      </c>
      <c r="M441">
        <v>0</v>
      </c>
      <c r="N441" s="15">
        <f t="shared" si="6"/>
        <v>2481.08</v>
      </c>
      <c r="O441" t="s">
        <v>28</v>
      </c>
      <c r="P441" t="s">
        <v>71</v>
      </c>
      <c r="Q441" t="s">
        <v>30</v>
      </c>
      <c r="R441" t="s">
        <v>42</v>
      </c>
      <c r="S441">
        <v>4</v>
      </c>
      <c r="T441" t="s">
        <v>131</v>
      </c>
    </row>
    <row r="442" spans="1:20">
      <c r="A442">
        <v>441</v>
      </c>
      <c r="B442" s="14">
        <v>45676</v>
      </c>
      <c r="C442" t="s">
        <v>20</v>
      </c>
      <c r="D442" t="s">
        <v>61</v>
      </c>
      <c r="E442" t="s">
        <v>96</v>
      </c>
      <c r="F442" t="s">
        <v>130</v>
      </c>
      <c r="G442" t="s">
        <v>45</v>
      </c>
      <c r="H442" t="s">
        <v>25</v>
      </c>
      <c r="I442" t="s">
        <v>38</v>
      </c>
      <c r="J442" t="s">
        <v>63</v>
      </c>
      <c r="K442">
        <v>9</v>
      </c>
      <c r="L442">
        <v>34.68</v>
      </c>
      <c r="M442">
        <v>15</v>
      </c>
      <c r="N442" s="15">
        <f t="shared" si="6"/>
        <v>312.12</v>
      </c>
      <c r="O442" t="s">
        <v>28</v>
      </c>
      <c r="P442" t="s">
        <v>71</v>
      </c>
      <c r="Q442" t="s">
        <v>76</v>
      </c>
      <c r="R442" t="s">
        <v>42</v>
      </c>
      <c r="S442">
        <v>5</v>
      </c>
      <c r="T442" t="s">
        <v>131</v>
      </c>
    </row>
    <row r="443" spans="1:20">
      <c r="A443">
        <v>442</v>
      </c>
      <c r="B443" s="14">
        <v>45901</v>
      </c>
      <c r="C443" t="s">
        <v>33</v>
      </c>
      <c r="D443" t="s">
        <v>61</v>
      </c>
      <c r="E443" t="s">
        <v>120</v>
      </c>
      <c r="F443" t="s">
        <v>91</v>
      </c>
      <c r="G443" t="s">
        <v>88</v>
      </c>
      <c r="H443" t="s">
        <v>73</v>
      </c>
      <c r="I443" t="s">
        <v>53</v>
      </c>
      <c r="J443" t="s">
        <v>63</v>
      </c>
      <c r="K443">
        <v>38</v>
      </c>
      <c r="L443">
        <v>97.23</v>
      </c>
      <c r="M443">
        <v>0</v>
      </c>
      <c r="N443" s="15">
        <f t="shared" si="6"/>
        <v>3694.74</v>
      </c>
      <c r="O443" t="s">
        <v>54</v>
      </c>
      <c r="P443" t="s">
        <v>132</v>
      </c>
      <c r="Q443" t="s">
        <v>30</v>
      </c>
      <c r="R443" t="s">
        <v>31</v>
      </c>
      <c r="S443">
        <v>1</v>
      </c>
      <c r="T443" t="s">
        <v>131</v>
      </c>
    </row>
    <row r="444" spans="1:20">
      <c r="A444">
        <v>443</v>
      </c>
      <c r="B444" s="14">
        <v>45723</v>
      </c>
      <c r="C444" t="s">
        <v>50</v>
      </c>
      <c r="D444" t="s">
        <v>129</v>
      </c>
      <c r="E444" t="s">
        <v>84</v>
      </c>
      <c r="F444" t="s">
        <v>130</v>
      </c>
      <c r="G444" t="s">
        <v>68</v>
      </c>
      <c r="H444" t="s">
        <v>58</v>
      </c>
      <c r="I444" t="s">
        <v>53</v>
      </c>
      <c r="J444" t="s">
        <v>63</v>
      </c>
      <c r="K444">
        <v>7</v>
      </c>
      <c r="L444">
        <v>45.67</v>
      </c>
      <c r="M444">
        <v>10</v>
      </c>
      <c r="N444" s="15">
        <f t="shared" si="6"/>
        <v>319.69</v>
      </c>
      <c r="O444" t="s">
        <v>28</v>
      </c>
      <c r="P444" t="s">
        <v>132</v>
      </c>
      <c r="Q444" t="s">
        <v>30</v>
      </c>
      <c r="R444" t="s">
        <v>42</v>
      </c>
      <c r="S444">
        <v>2</v>
      </c>
      <c r="T444" t="s">
        <v>125</v>
      </c>
    </row>
    <row r="445" spans="1:20">
      <c r="A445">
        <v>444</v>
      </c>
      <c r="B445" s="14">
        <v>45778</v>
      </c>
      <c r="C445" t="s">
        <v>20</v>
      </c>
      <c r="D445" t="s">
        <v>129</v>
      </c>
      <c r="E445" t="s">
        <v>98</v>
      </c>
      <c r="F445" t="s">
        <v>44</v>
      </c>
      <c r="G445" t="s">
        <v>128</v>
      </c>
      <c r="H445" t="s">
        <v>58</v>
      </c>
      <c r="I445" t="s">
        <v>53</v>
      </c>
      <c r="J445" t="s">
        <v>27</v>
      </c>
      <c r="K445">
        <v>22</v>
      </c>
      <c r="L445">
        <v>21.13</v>
      </c>
      <c r="M445">
        <v>0</v>
      </c>
      <c r="N445" s="15">
        <f t="shared" si="6"/>
        <v>464.86</v>
      </c>
      <c r="O445" t="s">
        <v>54</v>
      </c>
      <c r="P445" t="s">
        <v>71</v>
      </c>
      <c r="Q445" t="s">
        <v>76</v>
      </c>
      <c r="R445" t="s">
        <v>42</v>
      </c>
      <c r="S445">
        <v>4</v>
      </c>
      <c r="T445" t="s">
        <v>131</v>
      </c>
    </row>
    <row r="446" spans="1:20">
      <c r="A446">
        <v>445</v>
      </c>
      <c r="B446" s="14">
        <v>45794</v>
      </c>
      <c r="C446" t="s">
        <v>20</v>
      </c>
      <c r="D446" t="s">
        <v>124</v>
      </c>
      <c r="E446" t="s">
        <v>115</v>
      </c>
      <c r="F446" t="s">
        <v>91</v>
      </c>
      <c r="G446" t="s">
        <v>88</v>
      </c>
      <c r="H446" t="s">
        <v>46</v>
      </c>
      <c r="I446" t="s">
        <v>38</v>
      </c>
      <c r="J446" t="s">
        <v>63</v>
      </c>
      <c r="K446">
        <v>21</v>
      </c>
      <c r="L446">
        <v>59.39</v>
      </c>
      <c r="M446">
        <v>15</v>
      </c>
      <c r="N446" s="15">
        <f t="shared" si="6"/>
        <v>1247.19</v>
      </c>
      <c r="O446" t="s">
        <v>28</v>
      </c>
      <c r="P446" t="s">
        <v>64</v>
      </c>
      <c r="Q446" t="s">
        <v>30</v>
      </c>
      <c r="R446" t="s">
        <v>42</v>
      </c>
      <c r="S446">
        <v>5</v>
      </c>
      <c r="T446" t="s">
        <v>127</v>
      </c>
    </row>
    <row r="447" spans="1:20">
      <c r="A447">
        <v>446</v>
      </c>
      <c r="B447" s="14">
        <v>45743</v>
      </c>
      <c r="C447" t="s">
        <v>33</v>
      </c>
      <c r="D447" t="s">
        <v>129</v>
      </c>
      <c r="E447" t="s">
        <v>116</v>
      </c>
      <c r="F447" t="s">
        <v>44</v>
      </c>
      <c r="G447" t="s">
        <v>24</v>
      </c>
      <c r="H447" t="s">
        <v>73</v>
      </c>
      <c r="I447" t="s">
        <v>74</v>
      </c>
      <c r="J447" t="s">
        <v>39</v>
      </c>
      <c r="K447">
        <v>19</v>
      </c>
      <c r="L447">
        <v>30.19</v>
      </c>
      <c r="M447">
        <v>10</v>
      </c>
      <c r="N447" s="15">
        <f t="shared" si="6"/>
        <v>573.61</v>
      </c>
      <c r="O447" t="s">
        <v>28</v>
      </c>
      <c r="P447" t="s">
        <v>64</v>
      </c>
      <c r="Q447" t="s">
        <v>30</v>
      </c>
      <c r="R447" t="s">
        <v>42</v>
      </c>
      <c r="S447">
        <v>5</v>
      </c>
      <c r="T447" t="s">
        <v>131</v>
      </c>
    </row>
    <row r="448" spans="1:20">
      <c r="A448">
        <v>447</v>
      </c>
      <c r="B448" s="14">
        <v>45961</v>
      </c>
      <c r="C448" t="s">
        <v>60</v>
      </c>
      <c r="D448" t="s">
        <v>129</v>
      </c>
      <c r="E448" t="s">
        <v>52</v>
      </c>
      <c r="F448" t="s">
        <v>91</v>
      </c>
      <c r="G448" t="s">
        <v>68</v>
      </c>
      <c r="H448" t="s">
        <v>73</v>
      </c>
      <c r="I448" t="s">
        <v>38</v>
      </c>
      <c r="J448" t="s">
        <v>39</v>
      </c>
      <c r="K448">
        <v>23</v>
      </c>
      <c r="L448">
        <v>80.59</v>
      </c>
      <c r="M448">
        <v>10</v>
      </c>
      <c r="N448" s="15">
        <f t="shared" si="6"/>
        <v>1853.57</v>
      </c>
      <c r="O448" t="s">
        <v>54</v>
      </c>
      <c r="P448" t="s">
        <v>71</v>
      </c>
      <c r="Q448" t="s">
        <v>30</v>
      </c>
      <c r="R448" t="s">
        <v>31</v>
      </c>
      <c r="S448">
        <v>4</v>
      </c>
      <c r="T448" t="s">
        <v>131</v>
      </c>
    </row>
    <row r="449" spans="1:20">
      <c r="A449">
        <v>448</v>
      </c>
      <c r="B449" s="14">
        <v>45786</v>
      </c>
      <c r="C449" t="s">
        <v>33</v>
      </c>
      <c r="D449" t="s">
        <v>126</v>
      </c>
      <c r="E449" t="s">
        <v>93</v>
      </c>
      <c r="F449" t="s">
        <v>130</v>
      </c>
      <c r="G449" t="s">
        <v>68</v>
      </c>
      <c r="H449" t="s">
        <v>25</v>
      </c>
      <c r="I449" t="s">
        <v>74</v>
      </c>
      <c r="J449" t="s">
        <v>39</v>
      </c>
      <c r="K449">
        <v>37</v>
      </c>
      <c r="L449">
        <v>52.42</v>
      </c>
      <c r="M449">
        <v>15</v>
      </c>
      <c r="N449" s="15">
        <f t="shared" si="6"/>
        <v>1939.54</v>
      </c>
      <c r="O449" t="s">
        <v>54</v>
      </c>
      <c r="P449" t="s">
        <v>71</v>
      </c>
      <c r="Q449" t="s">
        <v>30</v>
      </c>
      <c r="R449" t="s">
        <v>42</v>
      </c>
      <c r="S449">
        <v>2</v>
      </c>
      <c r="T449" t="s">
        <v>127</v>
      </c>
    </row>
    <row r="450" spans="1:20">
      <c r="A450">
        <v>449</v>
      </c>
      <c r="B450" s="14">
        <v>45894</v>
      </c>
      <c r="C450" t="s">
        <v>50</v>
      </c>
      <c r="D450" t="s">
        <v>61</v>
      </c>
      <c r="E450" t="s">
        <v>90</v>
      </c>
      <c r="F450" t="s">
        <v>130</v>
      </c>
      <c r="G450" t="s">
        <v>128</v>
      </c>
      <c r="H450" t="s">
        <v>46</v>
      </c>
      <c r="I450" t="s">
        <v>38</v>
      </c>
      <c r="J450" t="s">
        <v>63</v>
      </c>
      <c r="K450">
        <v>21</v>
      </c>
      <c r="L450">
        <v>86.72</v>
      </c>
      <c r="M450">
        <v>0</v>
      </c>
      <c r="N450" s="15">
        <f t="shared" ref="N450:N501" si="7">PRODUCT(K450,L450)</f>
        <v>1821.12</v>
      </c>
      <c r="O450" t="s">
        <v>40</v>
      </c>
      <c r="P450" t="s">
        <v>71</v>
      </c>
      <c r="Q450" t="s">
        <v>30</v>
      </c>
      <c r="R450" t="s">
        <v>42</v>
      </c>
      <c r="S450">
        <v>5</v>
      </c>
      <c r="T450" t="s">
        <v>125</v>
      </c>
    </row>
    <row r="451" spans="1:20">
      <c r="A451">
        <v>450</v>
      </c>
      <c r="B451" s="14">
        <v>45789</v>
      </c>
      <c r="C451" t="s">
        <v>20</v>
      </c>
      <c r="D451" t="s">
        <v>126</v>
      </c>
      <c r="E451" t="s">
        <v>67</v>
      </c>
      <c r="F451" t="s">
        <v>44</v>
      </c>
      <c r="G451" t="s">
        <v>24</v>
      </c>
      <c r="H451" t="s">
        <v>58</v>
      </c>
      <c r="I451" t="s">
        <v>26</v>
      </c>
      <c r="J451" t="s">
        <v>39</v>
      </c>
      <c r="K451">
        <v>2</v>
      </c>
      <c r="L451">
        <v>28.33</v>
      </c>
      <c r="M451">
        <v>10</v>
      </c>
      <c r="N451" s="15">
        <f t="shared" si="7"/>
        <v>56.66</v>
      </c>
      <c r="O451" t="s">
        <v>28</v>
      </c>
      <c r="P451" t="s">
        <v>71</v>
      </c>
      <c r="Q451" t="s">
        <v>76</v>
      </c>
      <c r="R451" t="s">
        <v>42</v>
      </c>
      <c r="S451">
        <v>5</v>
      </c>
      <c r="T451" t="s">
        <v>131</v>
      </c>
    </row>
    <row r="452" spans="1:20">
      <c r="A452">
        <v>451</v>
      </c>
      <c r="B452" s="14">
        <v>45761</v>
      </c>
      <c r="C452" t="s">
        <v>50</v>
      </c>
      <c r="D452" t="s">
        <v>129</v>
      </c>
      <c r="E452" t="s">
        <v>89</v>
      </c>
      <c r="F452" t="s">
        <v>44</v>
      </c>
      <c r="G452" t="s">
        <v>45</v>
      </c>
      <c r="H452" t="s">
        <v>46</v>
      </c>
      <c r="I452" t="s">
        <v>47</v>
      </c>
      <c r="J452" t="s">
        <v>39</v>
      </c>
      <c r="K452">
        <v>42</v>
      </c>
      <c r="L452">
        <v>85.99</v>
      </c>
      <c r="M452">
        <v>15</v>
      </c>
      <c r="N452" s="15">
        <f t="shared" si="7"/>
        <v>3611.58</v>
      </c>
      <c r="O452" t="s">
        <v>28</v>
      </c>
      <c r="P452" t="s">
        <v>71</v>
      </c>
      <c r="Q452" t="s">
        <v>30</v>
      </c>
      <c r="R452" t="s">
        <v>42</v>
      </c>
      <c r="S452">
        <v>5</v>
      </c>
      <c r="T452" t="s">
        <v>127</v>
      </c>
    </row>
    <row r="453" spans="1:20">
      <c r="A453">
        <v>452</v>
      </c>
      <c r="B453" s="14">
        <v>45690</v>
      </c>
      <c r="C453" t="s">
        <v>85</v>
      </c>
      <c r="D453" t="s">
        <v>129</v>
      </c>
      <c r="E453" t="s">
        <v>112</v>
      </c>
      <c r="F453" t="s">
        <v>130</v>
      </c>
      <c r="G453" t="s">
        <v>88</v>
      </c>
      <c r="H453" t="s">
        <v>73</v>
      </c>
      <c r="I453" t="s">
        <v>26</v>
      </c>
      <c r="J453" t="s">
        <v>39</v>
      </c>
      <c r="K453">
        <v>8</v>
      </c>
      <c r="L453">
        <v>59.24</v>
      </c>
      <c r="M453">
        <v>0</v>
      </c>
      <c r="N453" s="15">
        <f t="shared" si="7"/>
        <v>473.92</v>
      </c>
      <c r="O453" t="s">
        <v>28</v>
      </c>
      <c r="P453" t="s">
        <v>132</v>
      </c>
      <c r="Q453" t="s">
        <v>76</v>
      </c>
      <c r="R453" t="s">
        <v>31</v>
      </c>
      <c r="S453">
        <v>2</v>
      </c>
      <c r="T453" t="s">
        <v>131</v>
      </c>
    </row>
    <row r="454" spans="1:20">
      <c r="A454">
        <v>453</v>
      </c>
      <c r="B454" s="14">
        <v>45818</v>
      </c>
      <c r="C454" t="s">
        <v>60</v>
      </c>
      <c r="D454" t="s">
        <v>61</v>
      </c>
      <c r="E454" t="s">
        <v>98</v>
      </c>
      <c r="F454" t="s">
        <v>130</v>
      </c>
      <c r="G454" t="s">
        <v>81</v>
      </c>
      <c r="H454" t="s">
        <v>25</v>
      </c>
      <c r="I454" t="s">
        <v>38</v>
      </c>
      <c r="J454" t="s">
        <v>39</v>
      </c>
      <c r="K454">
        <v>10</v>
      </c>
      <c r="L454">
        <v>15.15</v>
      </c>
      <c r="M454">
        <v>5</v>
      </c>
      <c r="N454" s="15">
        <f t="shared" si="7"/>
        <v>151.5</v>
      </c>
      <c r="O454" t="s">
        <v>54</v>
      </c>
      <c r="P454" t="s">
        <v>71</v>
      </c>
      <c r="Q454" t="s">
        <v>76</v>
      </c>
      <c r="R454" t="s">
        <v>42</v>
      </c>
      <c r="S454">
        <v>5</v>
      </c>
      <c r="T454" t="s">
        <v>131</v>
      </c>
    </row>
    <row r="455" spans="1:20">
      <c r="A455">
        <v>454</v>
      </c>
      <c r="B455" s="14">
        <v>45909</v>
      </c>
      <c r="C455" t="s">
        <v>33</v>
      </c>
      <c r="D455" t="s">
        <v>129</v>
      </c>
      <c r="E455" t="s">
        <v>57</v>
      </c>
      <c r="F455" t="s">
        <v>44</v>
      </c>
      <c r="G455" t="s">
        <v>45</v>
      </c>
      <c r="H455" t="s">
        <v>58</v>
      </c>
      <c r="I455" t="s">
        <v>38</v>
      </c>
      <c r="J455" t="s">
        <v>63</v>
      </c>
      <c r="K455">
        <v>44</v>
      </c>
      <c r="L455">
        <v>28.4</v>
      </c>
      <c r="M455">
        <v>10</v>
      </c>
      <c r="N455" s="15">
        <f t="shared" si="7"/>
        <v>1249.6</v>
      </c>
      <c r="O455" t="s">
        <v>40</v>
      </c>
      <c r="P455" t="s">
        <v>132</v>
      </c>
      <c r="Q455" t="s">
        <v>76</v>
      </c>
      <c r="R455" t="s">
        <v>42</v>
      </c>
      <c r="S455">
        <v>3</v>
      </c>
      <c r="T455" t="s">
        <v>127</v>
      </c>
    </row>
    <row r="456" spans="1:20">
      <c r="A456">
        <v>455</v>
      </c>
      <c r="B456" s="14">
        <v>45668</v>
      </c>
      <c r="C456" t="s">
        <v>20</v>
      </c>
      <c r="D456" t="s">
        <v>126</v>
      </c>
      <c r="E456" t="s">
        <v>118</v>
      </c>
      <c r="F456" t="s">
        <v>130</v>
      </c>
      <c r="G456" t="s">
        <v>128</v>
      </c>
      <c r="H456" t="s">
        <v>58</v>
      </c>
      <c r="I456" t="s">
        <v>26</v>
      </c>
      <c r="J456" t="s">
        <v>48</v>
      </c>
      <c r="K456">
        <v>36</v>
      </c>
      <c r="L456">
        <v>41.55</v>
      </c>
      <c r="M456">
        <v>10</v>
      </c>
      <c r="N456" s="15">
        <f t="shared" si="7"/>
        <v>1495.8</v>
      </c>
      <c r="O456" t="s">
        <v>28</v>
      </c>
      <c r="P456" t="s">
        <v>64</v>
      </c>
      <c r="Q456" t="s">
        <v>76</v>
      </c>
      <c r="R456" t="s">
        <v>42</v>
      </c>
      <c r="S456">
        <v>1</v>
      </c>
      <c r="T456" t="s">
        <v>131</v>
      </c>
    </row>
    <row r="457" spans="1:20">
      <c r="A457">
        <v>456</v>
      </c>
      <c r="B457" s="14">
        <v>45788</v>
      </c>
      <c r="C457" t="s">
        <v>60</v>
      </c>
      <c r="D457" t="s">
        <v>124</v>
      </c>
      <c r="E457" t="s">
        <v>79</v>
      </c>
      <c r="F457" t="s">
        <v>91</v>
      </c>
      <c r="G457" t="s">
        <v>45</v>
      </c>
      <c r="H457" t="s">
        <v>25</v>
      </c>
      <c r="I457" t="s">
        <v>26</v>
      </c>
      <c r="J457" t="s">
        <v>63</v>
      </c>
      <c r="K457">
        <v>41</v>
      </c>
      <c r="L457">
        <v>35.13</v>
      </c>
      <c r="M457">
        <v>15</v>
      </c>
      <c r="N457" s="15">
        <f t="shared" si="7"/>
        <v>1440.33</v>
      </c>
      <c r="O457" t="s">
        <v>28</v>
      </c>
      <c r="P457" t="s">
        <v>132</v>
      </c>
      <c r="Q457" t="s">
        <v>30</v>
      </c>
      <c r="R457" t="s">
        <v>42</v>
      </c>
      <c r="S457">
        <v>4</v>
      </c>
      <c r="T457" t="s">
        <v>131</v>
      </c>
    </row>
    <row r="458" spans="1:20">
      <c r="A458">
        <v>457</v>
      </c>
      <c r="B458" s="14">
        <v>45828</v>
      </c>
      <c r="C458" t="s">
        <v>20</v>
      </c>
      <c r="D458" t="s">
        <v>133</v>
      </c>
      <c r="E458" t="s">
        <v>106</v>
      </c>
      <c r="F458" t="s">
        <v>91</v>
      </c>
      <c r="G458" t="s">
        <v>128</v>
      </c>
      <c r="H458" t="s">
        <v>46</v>
      </c>
      <c r="I458" t="s">
        <v>47</v>
      </c>
      <c r="J458" t="s">
        <v>27</v>
      </c>
      <c r="K458">
        <v>23</v>
      </c>
      <c r="L458">
        <v>44.98</v>
      </c>
      <c r="M458">
        <v>0</v>
      </c>
      <c r="N458" s="15">
        <f t="shared" si="7"/>
        <v>1034.54</v>
      </c>
      <c r="O458" t="s">
        <v>54</v>
      </c>
      <c r="P458" t="s">
        <v>71</v>
      </c>
      <c r="Q458" t="s">
        <v>30</v>
      </c>
      <c r="R458" t="s">
        <v>31</v>
      </c>
      <c r="S458">
        <v>5</v>
      </c>
      <c r="T458" t="s">
        <v>125</v>
      </c>
    </row>
    <row r="459" spans="1:20">
      <c r="A459">
        <v>458</v>
      </c>
      <c r="B459" s="14">
        <v>45980</v>
      </c>
      <c r="C459" t="s">
        <v>85</v>
      </c>
      <c r="D459" t="s">
        <v>61</v>
      </c>
      <c r="E459" t="s">
        <v>109</v>
      </c>
      <c r="F459" t="s">
        <v>91</v>
      </c>
      <c r="G459" t="s">
        <v>88</v>
      </c>
      <c r="H459" t="s">
        <v>73</v>
      </c>
      <c r="I459" t="s">
        <v>26</v>
      </c>
      <c r="J459" t="s">
        <v>48</v>
      </c>
      <c r="K459">
        <v>21</v>
      </c>
      <c r="L459">
        <v>59.7</v>
      </c>
      <c r="M459">
        <v>0</v>
      </c>
      <c r="N459" s="15">
        <f t="shared" si="7"/>
        <v>1253.7</v>
      </c>
      <c r="O459" t="s">
        <v>40</v>
      </c>
      <c r="P459" t="s">
        <v>64</v>
      </c>
      <c r="Q459" t="s">
        <v>76</v>
      </c>
      <c r="R459" t="s">
        <v>42</v>
      </c>
      <c r="S459">
        <v>3</v>
      </c>
      <c r="T459" t="s">
        <v>131</v>
      </c>
    </row>
    <row r="460" spans="1:20">
      <c r="A460">
        <v>459</v>
      </c>
      <c r="B460" s="14">
        <v>45821</v>
      </c>
      <c r="C460" t="s">
        <v>85</v>
      </c>
      <c r="D460" t="s">
        <v>133</v>
      </c>
      <c r="E460" t="s">
        <v>22</v>
      </c>
      <c r="F460" t="s">
        <v>91</v>
      </c>
      <c r="G460" t="s">
        <v>45</v>
      </c>
      <c r="H460" t="s">
        <v>25</v>
      </c>
      <c r="I460" t="s">
        <v>47</v>
      </c>
      <c r="J460" t="s">
        <v>48</v>
      </c>
      <c r="K460">
        <v>19</v>
      </c>
      <c r="L460">
        <v>23.87</v>
      </c>
      <c r="M460">
        <v>15</v>
      </c>
      <c r="N460" s="15">
        <f t="shared" si="7"/>
        <v>453.53</v>
      </c>
      <c r="O460" t="s">
        <v>54</v>
      </c>
      <c r="P460" t="s">
        <v>64</v>
      </c>
      <c r="Q460" t="s">
        <v>76</v>
      </c>
      <c r="R460" t="s">
        <v>42</v>
      </c>
      <c r="S460">
        <v>5</v>
      </c>
      <c r="T460" t="s">
        <v>125</v>
      </c>
    </row>
    <row r="461" spans="1:20">
      <c r="A461">
        <v>460</v>
      </c>
      <c r="B461" s="14">
        <v>45668</v>
      </c>
      <c r="C461" t="s">
        <v>20</v>
      </c>
      <c r="D461" t="s">
        <v>126</v>
      </c>
      <c r="E461" t="s">
        <v>109</v>
      </c>
      <c r="F461" t="s">
        <v>91</v>
      </c>
      <c r="G461" t="s">
        <v>128</v>
      </c>
      <c r="H461" t="s">
        <v>25</v>
      </c>
      <c r="I461" t="s">
        <v>74</v>
      </c>
      <c r="J461" t="s">
        <v>63</v>
      </c>
      <c r="K461">
        <v>13</v>
      </c>
      <c r="L461">
        <v>29.87</v>
      </c>
      <c r="M461">
        <v>5</v>
      </c>
      <c r="N461" s="15">
        <f t="shared" si="7"/>
        <v>388.31</v>
      </c>
      <c r="O461" t="s">
        <v>28</v>
      </c>
      <c r="P461" t="s">
        <v>71</v>
      </c>
      <c r="Q461" t="s">
        <v>76</v>
      </c>
      <c r="R461" t="s">
        <v>42</v>
      </c>
      <c r="S461">
        <v>3</v>
      </c>
      <c r="T461" t="s">
        <v>125</v>
      </c>
    </row>
    <row r="462" spans="1:20">
      <c r="A462">
        <v>461</v>
      </c>
      <c r="B462" s="14">
        <v>45703</v>
      </c>
      <c r="C462" t="s">
        <v>60</v>
      </c>
      <c r="D462" t="s">
        <v>61</v>
      </c>
      <c r="E462" t="s">
        <v>100</v>
      </c>
      <c r="F462" t="s">
        <v>44</v>
      </c>
      <c r="G462" t="s">
        <v>88</v>
      </c>
      <c r="H462" t="s">
        <v>58</v>
      </c>
      <c r="I462" t="s">
        <v>38</v>
      </c>
      <c r="J462" t="s">
        <v>63</v>
      </c>
      <c r="K462">
        <v>44</v>
      </c>
      <c r="L462">
        <v>51.94</v>
      </c>
      <c r="M462">
        <v>5</v>
      </c>
      <c r="N462" s="15">
        <f t="shared" si="7"/>
        <v>2285.36</v>
      </c>
      <c r="O462" t="s">
        <v>40</v>
      </c>
      <c r="P462" t="s">
        <v>64</v>
      </c>
      <c r="Q462" t="s">
        <v>30</v>
      </c>
      <c r="R462" t="s">
        <v>42</v>
      </c>
      <c r="S462">
        <v>5</v>
      </c>
      <c r="T462" t="s">
        <v>131</v>
      </c>
    </row>
    <row r="463" spans="1:20">
      <c r="A463">
        <v>462</v>
      </c>
      <c r="B463" s="14">
        <v>45853</v>
      </c>
      <c r="C463" t="s">
        <v>50</v>
      </c>
      <c r="D463" t="s">
        <v>133</v>
      </c>
      <c r="E463" t="s">
        <v>110</v>
      </c>
      <c r="F463" t="s">
        <v>91</v>
      </c>
      <c r="G463" t="s">
        <v>24</v>
      </c>
      <c r="H463" t="s">
        <v>46</v>
      </c>
      <c r="I463" t="s">
        <v>26</v>
      </c>
      <c r="J463" t="s">
        <v>63</v>
      </c>
      <c r="K463">
        <v>12</v>
      </c>
      <c r="L463">
        <v>43.81</v>
      </c>
      <c r="M463">
        <v>5</v>
      </c>
      <c r="N463" s="15">
        <f t="shared" si="7"/>
        <v>525.72</v>
      </c>
      <c r="O463" t="s">
        <v>28</v>
      </c>
      <c r="P463" t="s">
        <v>132</v>
      </c>
      <c r="Q463" t="s">
        <v>30</v>
      </c>
      <c r="R463" t="s">
        <v>31</v>
      </c>
      <c r="S463">
        <v>5</v>
      </c>
      <c r="T463" t="s">
        <v>131</v>
      </c>
    </row>
    <row r="464" spans="1:20">
      <c r="A464">
        <v>463</v>
      </c>
      <c r="B464" s="14">
        <v>45785</v>
      </c>
      <c r="C464" t="s">
        <v>60</v>
      </c>
      <c r="D464" t="s">
        <v>126</v>
      </c>
      <c r="E464" t="s">
        <v>69</v>
      </c>
      <c r="F464" t="s">
        <v>130</v>
      </c>
      <c r="G464" t="s">
        <v>81</v>
      </c>
      <c r="H464" t="s">
        <v>58</v>
      </c>
      <c r="I464" t="s">
        <v>74</v>
      </c>
      <c r="J464" t="s">
        <v>63</v>
      </c>
      <c r="K464">
        <v>9</v>
      </c>
      <c r="L464">
        <v>87.79</v>
      </c>
      <c r="M464">
        <v>15</v>
      </c>
      <c r="N464" s="15">
        <f t="shared" si="7"/>
        <v>790.11</v>
      </c>
      <c r="O464" t="s">
        <v>40</v>
      </c>
      <c r="P464" t="s">
        <v>71</v>
      </c>
      <c r="Q464" t="s">
        <v>76</v>
      </c>
      <c r="R464" t="s">
        <v>42</v>
      </c>
      <c r="S464">
        <v>5</v>
      </c>
      <c r="T464" t="s">
        <v>127</v>
      </c>
    </row>
    <row r="465" spans="1:20">
      <c r="A465">
        <v>464</v>
      </c>
      <c r="B465" s="14">
        <v>45695</v>
      </c>
      <c r="C465" t="s">
        <v>20</v>
      </c>
      <c r="D465" t="s">
        <v>126</v>
      </c>
      <c r="E465" t="s">
        <v>117</v>
      </c>
      <c r="F465" t="s">
        <v>44</v>
      </c>
      <c r="G465" t="s">
        <v>45</v>
      </c>
      <c r="H465" t="s">
        <v>25</v>
      </c>
      <c r="I465" t="s">
        <v>38</v>
      </c>
      <c r="J465" t="s">
        <v>48</v>
      </c>
      <c r="K465">
        <v>39</v>
      </c>
      <c r="L465">
        <v>94.24</v>
      </c>
      <c r="M465">
        <v>0</v>
      </c>
      <c r="N465" s="15">
        <f t="shared" si="7"/>
        <v>3675.36</v>
      </c>
      <c r="O465" t="s">
        <v>28</v>
      </c>
      <c r="P465" t="s">
        <v>71</v>
      </c>
      <c r="Q465" t="s">
        <v>30</v>
      </c>
      <c r="R465" t="s">
        <v>42</v>
      </c>
      <c r="S465">
        <v>5</v>
      </c>
      <c r="T465" t="s">
        <v>131</v>
      </c>
    </row>
    <row r="466" spans="1:20">
      <c r="A466">
        <v>465</v>
      </c>
      <c r="B466" s="14">
        <v>45812</v>
      </c>
      <c r="C466" t="s">
        <v>85</v>
      </c>
      <c r="D466" t="s">
        <v>124</v>
      </c>
      <c r="E466" t="s">
        <v>116</v>
      </c>
      <c r="F466" t="s">
        <v>91</v>
      </c>
      <c r="G466" t="s">
        <v>68</v>
      </c>
      <c r="H466" t="s">
        <v>58</v>
      </c>
      <c r="I466" t="s">
        <v>47</v>
      </c>
      <c r="J466" t="s">
        <v>39</v>
      </c>
      <c r="K466">
        <v>17</v>
      </c>
      <c r="L466">
        <v>21.14</v>
      </c>
      <c r="M466">
        <v>15</v>
      </c>
      <c r="N466" s="15">
        <f t="shared" si="7"/>
        <v>359.38</v>
      </c>
      <c r="O466" t="s">
        <v>54</v>
      </c>
      <c r="P466" t="s">
        <v>71</v>
      </c>
      <c r="Q466" t="s">
        <v>76</v>
      </c>
      <c r="R466" t="s">
        <v>31</v>
      </c>
      <c r="S466">
        <v>3</v>
      </c>
      <c r="T466" t="s">
        <v>131</v>
      </c>
    </row>
    <row r="467" spans="1:20">
      <c r="A467">
        <v>466</v>
      </c>
      <c r="B467" s="14">
        <v>45730</v>
      </c>
      <c r="C467" t="s">
        <v>60</v>
      </c>
      <c r="D467" t="s">
        <v>124</v>
      </c>
      <c r="E467" t="s">
        <v>108</v>
      </c>
      <c r="F467" t="s">
        <v>44</v>
      </c>
      <c r="G467" t="s">
        <v>24</v>
      </c>
      <c r="H467" t="s">
        <v>73</v>
      </c>
      <c r="I467" t="s">
        <v>53</v>
      </c>
      <c r="J467" t="s">
        <v>48</v>
      </c>
      <c r="K467">
        <v>28</v>
      </c>
      <c r="L467">
        <v>31.88</v>
      </c>
      <c r="M467">
        <v>10</v>
      </c>
      <c r="N467" s="15">
        <f t="shared" si="7"/>
        <v>892.64</v>
      </c>
      <c r="O467" t="s">
        <v>54</v>
      </c>
      <c r="P467" t="s">
        <v>132</v>
      </c>
      <c r="Q467" t="s">
        <v>76</v>
      </c>
      <c r="R467" t="s">
        <v>31</v>
      </c>
      <c r="S467">
        <v>3</v>
      </c>
      <c r="T467" t="s">
        <v>131</v>
      </c>
    </row>
    <row r="468" spans="1:20">
      <c r="A468">
        <v>467</v>
      </c>
      <c r="B468" s="14">
        <v>45735</v>
      </c>
      <c r="C468" t="s">
        <v>33</v>
      </c>
      <c r="D468" t="s">
        <v>61</v>
      </c>
      <c r="E468" t="s">
        <v>112</v>
      </c>
      <c r="F468" t="s">
        <v>130</v>
      </c>
      <c r="G468" t="s">
        <v>81</v>
      </c>
      <c r="H468" t="s">
        <v>58</v>
      </c>
      <c r="I468" t="s">
        <v>26</v>
      </c>
      <c r="J468" t="s">
        <v>39</v>
      </c>
      <c r="K468">
        <v>4</v>
      </c>
      <c r="L468">
        <v>26.84</v>
      </c>
      <c r="M468">
        <v>0</v>
      </c>
      <c r="N468" s="15">
        <f t="shared" si="7"/>
        <v>107.36</v>
      </c>
      <c r="O468" t="s">
        <v>28</v>
      </c>
      <c r="P468" t="s">
        <v>132</v>
      </c>
      <c r="Q468" t="s">
        <v>76</v>
      </c>
      <c r="R468" t="s">
        <v>42</v>
      </c>
      <c r="S468">
        <v>4</v>
      </c>
      <c r="T468" t="s">
        <v>131</v>
      </c>
    </row>
    <row r="469" spans="1:20">
      <c r="A469">
        <v>468</v>
      </c>
      <c r="B469" s="14">
        <v>45717</v>
      </c>
      <c r="C469" t="s">
        <v>85</v>
      </c>
      <c r="D469" t="s">
        <v>124</v>
      </c>
      <c r="E469" t="s">
        <v>80</v>
      </c>
      <c r="F469" t="s">
        <v>23</v>
      </c>
      <c r="G469" t="s">
        <v>128</v>
      </c>
      <c r="H469" t="s">
        <v>58</v>
      </c>
      <c r="I469" t="s">
        <v>38</v>
      </c>
      <c r="J469" t="s">
        <v>63</v>
      </c>
      <c r="K469">
        <v>32</v>
      </c>
      <c r="L469">
        <v>15.69</v>
      </c>
      <c r="M469">
        <v>5</v>
      </c>
      <c r="N469" s="15">
        <f t="shared" si="7"/>
        <v>502.08</v>
      </c>
      <c r="O469" t="s">
        <v>28</v>
      </c>
      <c r="P469" t="s">
        <v>132</v>
      </c>
      <c r="Q469" t="s">
        <v>30</v>
      </c>
      <c r="R469" t="s">
        <v>31</v>
      </c>
      <c r="S469">
        <v>3</v>
      </c>
      <c r="T469" t="s">
        <v>125</v>
      </c>
    </row>
    <row r="470" spans="1:20">
      <c r="A470">
        <v>469</v>
      </c>
      <c r="B470" s="14">
        <v>45744</v>
      </c>
      <c r="C470" t="s">
        <v>20</v>
      </c>
      <c r="D470" t="s">
        <v>126</v>
      </c>
      <c r="E470" t="s">
        <v>86</v>
      </c>
      <c r="F470" t="s">
        <v>91</v>
      </c>
      <c r="G470" t="s">
        <v>128</v>
      </c>
      <c r="H470" t="s">
        <v>58</v>
      </c>
      <c r="I470" t="s">
        <v>26</v>
      </c>
      <c r="J470" t="s">
        <v>27</v>
      </c>
      <c r="K470">
        <v>34</v>
      </c>
      <c r="L470">
        <v>77.85</v>
      </c>
      <c r="M470">
        <v>5</v>
      </c>
      <c r="N470" s="15">
        <f t="shared" si="7"/>
        <v>2646.9</v>
      </c>
      <c r="O470" t="s">
        <v>28</v>
      </c>
      <c r="P470" t="s">
        <v>71</v>
      </c>
      <c r="Q470" t="s">
        <v>76</v>
      </c>
      <c r="R470" t="s">
        <v>42</v>
      </c>
      <c r="S470">
        <v>3</v>
      </c>
      <c r="T470" t="s">
        <v>131</v>
      </c>
    </row>
    <row r="471" spans="1:20">
      <c r="A471">
        <v>470</v>
      </c>
      <c r="B471" s="14">
        <v>45826</v>
      </c>
      <c r="C471" t="s">
        <v>20</v>
      </c>
      <c r="D471" t="s">
        <v>129</v>
      </c>
      <c r="E471" t="s">
        <v>69</v>
      </c>
      <c r="F471" t="s">
        <v>130</v>
      </c>
      <c r="G471" t="s">
        <v>88</v>
      </c>
      <c r="H471" t="s">
        <v>73</v>
      </c>
      <c r="I471" t="s">
        <v>53</v>
      </c>
      <c r="J471" t="s">
        <v>27</v>
      </c>
      <c r="K471">
        <v>21</v>
      </c>
      <c r="L471">
        <v>19.61</v>
      </c>
      <c r="M471">
        <v>0</v>
      </c>
      <c r="N471" s="15">
        <f t="shared" si="7"/>
        <v>411.81</v>
      </c>
      <c r="O471" t="s">
        <v>28</v>
      </c>
      <c r="P471" t="s">
        <v>71</v>
      </c>
      <c r="Q471" t="s">
        <v>76</v>
      </c>
      <c r="R471" t="s">
        <v>42</v>
      </c>
      <c r="S471">
        <v>3</v>
      </c>
      <c r="T471" t="s">
        <v>131</v>
      </c>
    </row>
    <row r="472" spans="1:20">
      <c r="A472">
        <v>471</v>
      </c>
      <c r="B472" s="14">
        <v>45826</v>
      </c>
      <c r="C472" t="s">
        <v>20</v>
      </c>
      <c r="D472" t="s">
        <v>124</v>
      </c>
      <c r="E472" t="s">
        <v>123</v>
      </c>
      <c r="F472" t="s">
        <v>44</v>
      </c>
      <c r="G472" t="s">
        <v>45</v>
      </c>
      <c r="H472" t="s">
        <v>58</v>
      </c>
      <c r="I472" t="s">
        <v>26</v>
      </c>
      <c r="J472" t="s">
        <v>39</v>
      </c>
      <c r="K472">
        <v>4</v>
      </c>
      <c r="L472">
        <v>81.15</v>
      </c>
      <c r="M472">
        <v>10</v>
      </c>
      <c r="N472" s="15">
        <f t="shared" si="7"/>
        <v>324.6</v>
      </c>
      <c r="O472" t="s">
        <v>54</v>
      </c>
      <c r="P472" t="s">
        <v>71</v>
      </c>
      <c r="Q472" t="s">
        <v>30</v>
      </c>
      <c r="R472" t="s">
        <v>42</v>
      </c>
      <c r="S472">
        <v>5</v>
      </c>
      <c r="T472" t="s">
        <v>131</v>
      </c>
    </row>
    <row r="473" spans="1:20">
      <c r="A473">
        <v>472</v>
      </c>
      <c r="B473" s="14">
        <v>45705</v>
      </c>
      <c r="C473" t="s">
        <v>85</v>
      </c>
      <c r="D473" t="s">
        <v>129</v>
      </c>
      <c r="E473" t="s">
        <v>92</v>
      </c>
      <c r="F473" t="s">
        <v>91</v>
      </c>
      <c r="G473" t="s">
        <v>81</v>
      </c>
      <c r="H473" t="s">
        <v>58</v>
      </c>
      <c r="I473" t="s">
        <v>74</v>
      </c>
      <c r="J473" t="s">
        <v>39</v>
      </c>
      <c r="K473">
        <v>11</v>
      </c>
      <c r="L473">
        <v>41.91</v>
      </c>
      <c r="M473">
        <v>15</v>
      </c>
      <c r="N473" s="15">
        <f t="shared" si="7"/>
        <v>461.01</v>
      </c>
      <c r="O473" t="s">
        <v>54</v>
      </c>
      <c r="P473" t="s">
        <v>64</v>
      </c>
      <c r="Q473" t="s">
        <v>30</v>
      </c>
      <c r="R473" t="s">
        <v>42</v>
      </c>
      <c r="S473">
        <v>4</v>
      </c>
      <c r="T473" t="s">
        <v>131</v>
      </c>
    </row>
    <row r="474" spans="1:20">
      <c r="A474">
        <v>473</v>
      </c>
      <c r="B474" s="14">
        <v>45816</v>
      </c>
      <c r="C474" t="s">
        <v>20</v>
      </c>
      <c r="D474" t="s">
        <v>126</v>
      </c>
      <c r="E474" t="s">
        <v>89</v>
      </c>
      <c r="F474" t="s">
        <v>23</v>
      </c>
      <c r="G474" t="s">
        <v>128</v>
      </c>
      <c r="H474" t="s">
        <v>58</v>
      </c>
      <c r="I474" t="s">
        <v>53</v>
      </c>
      <c r="J474" t="s">
        <v>39</v>
      </c>
      <c r="K474">
        <v>32</v>
      </c>
      <c r="L474">
        <v>47.32</v>
      </c>
      <c r="M474">
        <v>15</v>
      </c>
      <c r="N474" s="15">
        <f t="shared" si="7"/>
        <v>1514.24</v>
      </c>
      <c r="O474" t="s">
        <v>28</v>
      </c>
      <c r="P474" t="s">
        <v>132</v>
      </c>
      <c r="Q474" t="s">
        <v>76</v>
      </c>
      <c r="R474" t="s">
        <v>31</v>
      </c>
      <c r="S474">
        <v>4</v>
      </c>
      <c r="T474" t="s">
        <v>127</v>
      </c>
    </row>
    <row r="475" spans="1:20">
      <c r="A475">
        <v>474</v>
      </c>
      <c r="B475" s="14">
        <v>45972</v>
      </c>
      <c r="C475" t="s">
        <v>50</v>
      </c>
      <c r="D475" t="s">
        <v>133</v>
      </c>
      <c r="E475" t="s">
        <v>104</v>
      </c>
      <c r="F475" t="s">
        <v>44</v>
      </c>
      <c r="G475" t="s">
        <v>88</v>
      </c>
      <c r="H475" t="s">
        <v>58</v>
      </c>
      <c r="I475" t="s">
        <v>47</v>
      </c>
      <c r="J475" t="s">
        <v>48</v>
      </c>
      <c r="K475">
        <v>30</v>
      </c>
      <c r="L475">
        <v>69.26</v>
      </c>
      <c r="M475">
        <v>5</v>
      </c>
      <c r="N475" s="15">
        <f t="shared" si="7"/>
        <v>2077.8</v>
      </c>
      <c r="O475" t="s">
        <v>28</v>
      </c>
      <c r="P475" t="s">
        <v>71</v>
      </c>
      <c r="Q475" t="s">
        <v>30</v>
      </c>
      <c r="R475" t="s">
        <v>42</v>
      </c>
      <c r="S475">
        <v>4</v>
      </c>
      <c r="T475" t="s">
        <v>131</v>
      </c>
    </row>
    <row r="476" spans="1:20">
      <c r="A476">
        <v>475</v>
      </c>
      <c r="B476" s="14">
        <v>45902</v>
      </c>
      <c r="C476" t="s">
        <v>60</v>
      </c>
      <c r="D476" t="s">
        <v>61</v>
      </c>
      <c r="E476" t="s">
        <v>89</v>
      </c>
      <c r="F476" t="s">
        <v>130</v>
      </c>
      <c r="G476" t="s">
        <v>45</v>
      </c>
      <c r="H476" t="s">
        <v>25</v>
      </c>
      <c r="I476" t="s">
        <v>47</v>
      </c>
      <c r="J476" t="s">
        <v>63</v>
      </c>
      <c r="K476">
        <v>19</v>
      </c>
      <c r="L476">
        <v>59.01</v>
      </c>
      <c r="M476">
        <v>0</v>
      </c>
      <c r="N476" s="15">
        <f t="shared" si="7"/>
        <v>1121.19</v>
      </c>
      <c r="O476" t="s">
        <v>28</v>
      </c>
      <c r="P476" t="s">
        <v>71</v>
      </c>
      <c r="Q476" t="s">
        <v>30</v>
      </c>
      <c r="R476" t="s">
        <v>42</v>
      </c>
      <c r="S476">
        <v>4</v>
      </c>
      <c r="T476" t="s">
        <v>131</v>
      </c>
    </row>
    <row r="477" spans="1:20">
      <c r="A477">
        <v>476</v>
      </c>
      <c r="B477" s="14">
        <v>45706</v>
      </c>
      <c r="C477" t="s">
        <v>85</v>
      </c>
      <c r="D477" t="s">
        <v>124</v>
      </c>
      <c r="E477" t="s">
        <v>113</v>
      </c>
      <c r="F477" t="s">
        <v>91</v>
      </c>
      <c r="G477" t="s">
        <v>45</v>
      </c>
      <c r="H477" t="s">
        <v>46</v>
      </c>
      <c r="I477" t="s">
        <v>53</v>
      </c>
      <c r="J477" t="s">
        <v>27</v>
      </c>
      <c r="K477">
        <v>50</v>
      </c>
      <c r="L477">
        <v>52.83</v>
      </c>
      <c r="M477">
        <v>0</v>
      </c>
      <c r="N477" s="15">
        <f t="shared" si="7"/>
        <v>2641.5</v>
      </c>
      <c r="O477" t="s">
        <v>28</v>
      </c>
      <c r="P477" t="s">
        <v>64</v>
      </c>
      <c r="Q477" t="s">
        <v>76</v>
      </c>
      <c r="R477" t="s">
        <v>42</v>
      </c>
      <c r="S477">
        <v>1</v>
      </c>
      <c r="T477" t="s">
        <v>131</v>
      </c>
    </row>
    <row r="478" spans="1:20">
      <c r="A478">
        <v>477</v>
      </c>
      <c r="B478" s="14">
        <v>45871</v>
      </c>
      <c r="C478" t="s">
        <v>20</v>
      </c>
      <c r="D478" t="s">
        <v>129</v>
      </c>
      <c r="E478" t="s">
        <v>108</v>
      </c>
      <c r="F478" t="s">
        <v>91</v>
      </c>
      <c r="G478" t="s">
        <v>128</v>
      </c>
      <c r="H478" t="s">
        <v>73</v>
      </c>
      <c r="I478" t="s">
        <v>38</v>
      </c>
      <c r="J478" t="s">
        <v>48</v>
      </c>
      <c r="K478">
        <v>22</v>
      </c>
      <c r="L478">
        <v>96.84</v>
      </c>
      <c r="M478">
        <v>5</v>
      </c>
      <c r="N478" s="15">
        <f t="shared" si="7"/>
        <v>2130.48</v>
      </c>
      <c r="O478" t="s">
        <v>40</v>
      </c>
      <c r="P478" t="s">
        <v>64</v>
      </c>
      <c r="Q478" t="s">
        <v>30</v>
      </c>
      <c r="R478" t="s">
        <v>42</v>
      </c>
      <c r="S478">
        <v>5</v>
      </c>
      <c r="T478" t="s">
        <v>127</v>
      </c>
    </row>
    <row r="479" spans="1:20">
      <c r="A479">
        <v>478</v>
      </c>
      <c r="B479" s="14">
        <v>46002</v>
      </c>
      <c r="C479" t="s">
        <v>20</v>
      </c>
      <c r="D479" t="s">
        <v>133</v>
      </c>
      <c r="E479" t="s">
        <v>121</v>
      </c>
      <c r="F479" t="s">
        <v>44</v>
      </c>
      <c r="G479" t="s">
        <v>88</v>
      </c>
      <c r="H479" t="s">
        <v>73</v>
      </c>
      <c r="I479" t="s">
        <v>74</v>
      </c>
      <c r="J479" t="s">
        <v>27</v>
      </c>
      <c r="K479">
        <v>11</v>
      </c>
      <c r="L479">
        <v>67.3</v>
      </c>
      <c r="M479">
        <v>15</v>
      </c>
      <c r="N479" s="15">
        <f t="shared" si="7"/>
        <v>740.3</v>
      </c>
      <c r="O479" t="s">
        <v>28</v>
      </c>
      <c r="P479" t="s">
        <v>71</v>
      </c>
      <c r="Q479" t="s">
        <v>30</v>
      </c>
      <c r="R479" t="s">
        <v>42</v>
      </c>
      <c r="S479">
        <v>5</v>
      </c>
      <c r="T479" t="s">
        <v>127</v>
      </c>
    </row>
    <row r="480" spans="1:20">
      <c r="A480">
        <v>479</v>
      </c>
      <c r="B480" s="14">
        <v>46011</v>
      </c>
      <c r="C480" t="s">
        <v>20</v>
      </c>
      <c r="D480" t="s">
        <v>124</v>
      </c>
      <c r="E480" t="s">
        <v>69</v>
      </c>
      <c r="F480" t="s">
        <v>44</v>
      </c>
      <c r="G480" t="s">
        <v>45</v>
      </c>
      <c r="H480" t="s">
        <v>58</v>
      </c>
      <c r="I480" t="s">
        <v>26</v>
      </c>
      <c r="J480" t="s">
        <v>39</v>
      </c>
      <c r="K480">
        <v>1</v>
      </c>
      <c r="L480">
        <v>23.13</v>
      </c>
      <c r="M480">
        <v>0</v>
      </c>
      <c r="N480" s="15">
        <f t="shared" si="7"/>
        <v>23.13</v>
      </c>
      <c r="O480" t="s">
        <v>40</v>
      </c>
      <c r="P480" t="s">
        <v>71</v>
      </c>
      <c r="Q480" t="s">
        <v>76</v>
      </c>
      <c r="R480" t="s">
        <v>42</v>
      </c>
      <c r="S480">
        <v>5</v>
      </c>
      <c r="T480" t="s">
        <v>125</v>
      </c>
    </row>
    <row r="481" spans="1:20">
      <c r="A481">
        <v>480</v>
      </c>
      <c r="B481" s="14">
        <v>45990</v>
      </c>
      <c r="C481" t="s">
        <v>50</v>
      </c>
      <c r="D481" t="s">
        <v>133</v>
      </c>
      <c r="E481" t="s">
        <v>104</v>
      </c>
      <c r="F481" t="s">
        <v>91</v>
      </c>
      <c r="G481" t="s">
        <v>24</v>
      </c>
      <c r="H481" t="s">
        <v>58</v>
      </c>
      <c r="I481" t="s">
        <v>53</v>
      </c>
      <c r="J481" t="s">
        <v>63</v>
      </c>
      <c r="K481">
        <v>10</v>
      </c>
      <c r="L481">
        <v>50.03</v>
      </c>
      <c r="M481">
        <v>0</v>
      </c>
      <c r="N481" s="15">
        <f t="shared" si="7"/>
        <v>500.3</v>
      </c>
      <c r="O481" t="s">
        <v>28</v>
      </c>
      <c r="P481" t="s">
        <v>64</v>
      </c>
      <c r="Q481" t="s">
        <v>76</v>
      </c>
      <c r="R481" t="s">
        <v>42</v>
      </c>
      <c r="S481">
        <v>5</v>
      </c>
      <c r="T481" t="s">
        <v>131</v>
      </c>
    </row>
    <row r="482" spans="1:20">
      <c r="A482">
        <v>481</v>
      </c>
      <c r="B482" s="14">
        <v>45906</v>
      </c>
      <c r="C482" t="s">
        <v>85</v>
      </c>
      <c r="D482" t="s">
        <v>124</v>
      </c>
      <c r="E482" t="s">
        <v>80</v>
      </c>
      <c r="F482" t="s">
        <v>91</v>
      </c>
      <c r="G482" t="s">
        <v>24</v>
      </c>
      <c r="H482" t="s">
        <v>25</v>
      </c>
      <c r="I482" t="s">
        <v>53</v>
      </c>
      <c r="J482" t="s">
        <v>63</v>
      </c>
      <c r="K482">
        <v>4</v>
      </c>
      <c r="L482">
        <v>36.72</v>
      </c>
      <c r="M482">
        <v>0</v>
      </c>
      <c r="N482" s="15">
        <f t="shared" si="7"/>
        <v>146.88</v>
      </c>
      <c r="O482" t="s">
        <v>28</v>
      </c>
      <c r="P482" t="s">
        <v>71</v>
      </c>
      <c r="Q482" t="s">
        <v>76</v>
      </c>
      <c r="R482" t="s">
        <v>42</v>
      </c>
      <c r="S482">
        <v>5</v>
      </c>
      <c r="T482" t="s">
        <v>127</v>
      </c>
    </row>
    <row r="483" spans="1:20">
      <c r="A483">
        <v>482</v>
      </c>
      <c r="B483" s="14">
        <v>45676</v>
      </c>
      <c r="C483" t="s">
        <v>85</v>
      </c>
      <c r="D483" t="s">
        <v>133</v>
      </c>
      <c r="E483" t="s">
        <v>105</v>
      </c>
      <c r="F483" t="s">
        <v>91</v>
      </c>
      <c r="G483" t="s">
        <v>68</v>
      </c>
      <c r="H483" t="s">
        <v>58</v>
      </c>
      <c r="I483" t="s">
        <v>38</v>
      </c>
      <c r="J483" t="s">
        <v>39</v>
      </c>
      <c r="K483">
        <v>46</v>
      </c>
      <c r="L483">
        <v>10.77</v>
      </c>
      <c r="M483">
        <v>0</v>
      </c>
      <c r="N483" s="15">
        <f t="shared" si="7"/>
        <v>495.42</v>
      </c>
      <c r="O483" t="s">
        <v>28</v>
      </c>
      <c r="P483" t="s">
        <v>132</v>
      </c>
      <c r="Q483" t="s">
        <v>30</v>
      </c>
      <c r="R483" t="s">
        <v>42</v>
      </c>
      <c r="S483">
        <v>3</v>
      </c>
      <c r="T483" t="s">
        <v>131</v>
      </c>
    </row>
    <row r="484" spans="1:20">
      <c r="A484">
        <v>483</v>
      </c>
      <c r="B484" s="14">
        <v>45900</v>
      </c>
      <c r="C484" t="s">
        <v>20</v>
      </c>
      <c r="D484" t="s">
        <v>133</v>
      </c>
      <c r="E484" t="s">
        <v>123</v>
      </c>
      <c r="F484" t="s">
        <v>130</v>
      </c>
      <c r="G484" t="s">
        <v>45</v>
      </c>
      <c r="H484" t="s">
        <v>73</v>
      </c>
      <c r="I484" t="s">
        <v>38</v>
      </c>
      <c r="J484" t="s">
        <v>27</v>
      </c>
      <c r="K484">
        <v>11</v>
      </c>
      <c r="L484">
        <v>32.36</v>
      </c>
      <c r="M484">
        <v>5</v>
      </c>
      <c r="N484" s="15">
        <f t="shared" si="7"/>
        <v>355.96</v>
      </c>
      <c r="O484" t="s">
        <v>28</v>
      </c>
      <c r="P484" t="s">
        <v>132</v>
      </c>
      <c r="Q484" t="s">
        <v>76</v>
      </c>
      <c r="R484" t="s">
        <v>31</v>
      </c>
      <c r="S484">
        <v>5</v>
      </c>
      <c r="T484" t="s">
        <v>125</v>
      </c>
    </row>
    <row r="485" spans="1:20">
      <c r="A485">
        <v>484</v>
      </c>
      <c r="B485" s="14">
        <v>45958</v>
      </c>
      <c r="C485" t="s">
        <v>20</v>
      </c>
      <c r="D485" t="s">
        <v>129</v>
      </c>
      <c r="E485" t="s">
        <v>95</v>
      </c>
      <c r="F485" t="s">
        <v>130</v>
      </c>
      <c r="G485" t="s">
        <v>128</v>
      </c>
      <c r="H485" t="s">
        <v>73</v>
      </c>
      <c r="I485" t="s">
        <v>26</v>
      </c>
      <c r="J485" t="s">
        <v>48</v>
      </c>
      <c r="K485">
        <v>47</v>
      </c>
      <c r="L485">
        <v>72.58</v>
      </c>
      <c r="M485">
        <v>15</v>
      </c>
      <c r="N485" s="15">
        <f t="shared" si="7"/>
        <v>3411.26</v>
      </c>
      <c r="O485" t="s">
        <v>54</v>
      </c>
      <c r="P485" t="s">
        <v>71</v>
      </c>
      <c r="Q485" t="s">
        <v>76</v>
      </c>
      <c r="R485" t="s">
        <v>42</v>
      </c>
      <c r="S485">
        <v>2</v>
      </c>
      <c r="T485" t="s">
        <v>127</v>
      </c>
    </row>
    <row r="486" spans="1:20">
      <c r="A486">
        <v>485</v>
      </c>
      <c r="B486" s="14">
        <v>46011</v>
      </c>
      <c r="C486" t="s">
        <v>20</v>
      </c>
      <c r="D486" t="s">
        <v>124</v>
      </c>
      <c r="E486" t="s">
        <v>112</v>
      </c>
      <c r="F486" t="s">
        <v>44</v>
      </c>
      <c r="G486" t="s">
        <v>24</v>
      </c>
      <c r="H486" t="s">
        <v>25</v>
      </c>
      <c r="I486" t="s">
        <v>26</v>
      </c>
      <c r="J486" t="s">
        <v>39</v>
      </c>
      <c r="K486">
        <v>39</v>
      </c>
      <c r="L486">
        <v>51.76</v>
      </c>
      <c r="M486">
        <v>15</v>
      </c>
      <c r="N486" s="15">
        <f t="shared" si="7"/>
        <v>2018.64</v>
      </c>
      <c r="O486" t="s">
        <v>28</v>
      </c>
      <c r="P486" t="s">
        <v>132</v>
      </c>
      <c r="Q486" t="s">
        <v>76</v>
      </c>
      <c r="R486" t="s">
        <v>31</v>
      </c>
      <c r="S486">
        <v>5</v>
      </c>
      <c r="T486" t="s">
        <v>131</v>
      </c>
    </row>
    <row r="487" spans="1:20">
      <c r="A487">
        <v>486</v>
      </c>
      <c r="B487" s="14">
        <v>45667</v>
      </c>
      <c r="C487" t="s">
        <v>60</v>
      </c>
      <c r="D487" t="s">
        <v>129</v>
      </c>
      <c r="E487" t="s">
        <v>84</v>
      </c>
      <c r="F487" t="s">
        <v>130</v>
      </c>
      <c r="G487" t="s">
        <v>24</v>
      </c>
      <c r="H487" t="s">
        <v>25</v>
      </c>
      <c r="I487" t="s">
        <v>47</v>
      </c>
      <c r="J487" t="s">
        <v>27</v>
      </c>
      <c r="K487">
        <v>5</v>
      </c>
      <c r="L487">
        <v>37.08</v>
      </c>
      <c r="M487">
        <v>0</v>
      </c>
      <c r="N487" s="15">
        <f t="shared" si="7"/>
        <v>185.4</v>
      </c>
      <c r="O487" t="s">
        <v>40</v>
      </c>
      <c r="P487" t="s">
        <v>71</v>
      </c>
      <c r="Q487" t="s">
        <v>76</v>
      </c>
      <c r="R487" t="s">
        <v>42</v>
      </c>
      <c r="S487">
        <v>3</v>
      </c>
      <c r="T487" t="s">
        <v>127</v>
      </c>
    </row>
    <row r="488" spans="1:20">
      <c r="A488">
        <v>487</v>
      </c>
      <c r="B488" s="14">
        <v>45839</v>
      </c>
      <c r="C488" t="s">
        <v>50</v>
      </c>
      <c r="D488" t="s">
        <v>124</v>
      </c>
      <c r="E488" t="s">
        <v>62</v>
      </c>
      <c r="F488" t="s">
        <v>91</v>
      </c>
      <c r="G488" t="s">
        <v>45</v>
      </c>
      <c r="H488" t="s">
        <v>25</v>
      </c>
      <c r="I488" t="s">
        <v>47</v>
      </c>
      <c r="J488" t="s">
        <v>27</v>
      </c>
      <c r="K488">
        <v>46</v>
      </c>
      <c r="L488">
        <v>9.79</v>
      </c>
      <c r="M488">
        <v>15</v>
      </c>
      <c r="N488" s="15">
        <f t="shared" si="7"/>
        <v>450.34</v>
      </c>
      <c r="O488" t="s">
        <v>28</v>
      </c>
      <c r="P488" t="s">
        <v>71</v>
      </c>
      <c r="Q488" t="s">
        <v>30</v>
      </c>
      <c r="R488" t="s">
        <v>42</v>
      </c>
      <c r="S488">
        <v>5</v>
      </c>
      <c r="T488" t="s">
        <v>131</v>
      </c>
    </row>
    <row r="489" spans="1:20">
      <c r="A489">
        <v>488</v>
      </c>
      <c r="B489" s="14">
        <v>45945</v>
      </c>
      <c r="C489" t="s">
        <v>20</v>
      </c>
      <c r="D489" t="s">
        <v>126</v>
      </c>
      <c r="E489" t="s">
        <v>106</v>
      </c>
      <c r="F489" t="s">
        <v>91</v>
      </c>
      <c r="G489" t="s">
        <v>128</v>
      </c>
      <c r="H489" t="s">
        <v>58</v>
      </c>
      <c r="I489" t="s">
        <v>26</v>
      </c>
      <c r="J489" t="s">
        <v>48</v>
      </c>
      <c r="K489">
        <v>11</v>
      </c>
      <c r="L489">
        <v>74.19</v>
      </c>
      <c r="M489">
        <v>15</v>
      </c>
      <c r="N489" s="15">
        <f t="shared" si="7"/>
        <v>816.09</v>
      </c>
      <c r="O489" t="s">
        <v>28</v>
      </c>
      <c r="P489" t="s">
        <v>71</v>
      </c>
      <c r="Q489" t="s">
        <v>76</v>
      </c>
      <c r="R489" t="s">
        <v>42</v>
      </c>
      <c r="S489">
        <v>3</v>
      </c>
      <c r="T489" t="s">
        <v>127</v>
      </c>
    </row>
    <row r="490" spans="1:20">
      <c r="A490">
        <v>489</v>
      </c>
      <c r="B490" s="14">
        <v>45728</v>
      </c>
      <c r="C490" t="s">
        <v>20</v>
      </c>
      <c r="D490" t="s">
        <v>61</v>
      </c>
      <c r="E490" t="s">
        <v>101</v>
      </c>
      <c r="F490" t="s">
        <v>44</v>
      </c>
      <c r="G490" t="s">
        <v>81</v>
      </c>
      <c r="H490" t="s">
        <v>58</v>
      </c>
      <c r="I490" t="s">
        <v>26</v>
      </c>
      <c r="J490" t="s">
        <v>63</v>
      </c>
      <c r="K490">
        <v>22</v>
      </c>
      <c r="L490">
        <v>32.24</v>
      </c>
      <c r="M490">
        <v>5</v>
      </c>
      <c r="N490" s="15">
        <f t="shared" si="7"/>
        <v>709.28</v>
      </c>
      <c r="O490" t="s">
        <v>28</v>
      </c>
      <c r="P490" t="s">
        <v>132</v>
      </c>
      <c r="Q490" t="s">
        <v>30</v>
      </c>
      <c r="R490" t="s">
        <v>42</v>
      </c>
      <c r="S490">
        <v>4</v>
      </c>
      <c r="T490" t="s">
        <v>127</v>
      </c>
    </row>
    <row r="491" spans="1:20">
      <c r="A491">
        <v>490</v>
      </c>
      <c r="B491" s="14">
        <v>45980</v>
      </c>
      <c r="C491" t="s">
        <v>20</v>
      </c>
      <c r="D491" t="s">
        <v>61</v>
      </c>
      <c r="E491" t="s">
        <v>90</v>
      </c>
      <c r="F491" t="s">
        <v>91</v>
      </c>
      <c r="G491" t="s">
        <v>81</v>
      </c>
      <c r="H491" t="s">
        <v>25</v>
      </c>
      <c r="I491" t="s">
        <v>26</v>
      </c>
      <c r="J491" t="s">
        <v>63</v>
      </c>
      <c r="K491">
        <v>27</v>
      </c>
      <c r="L491">
        <v>92.21</v>
      </c>
      <c r="M491">
        <v>15</v>
      </c>
      <c r="N491" s="15">
        <f t="shared" si="7"/>
        <v>2489.67</v>
      </c>
      <c r="O491" t="s">
        <v>54</v>
      </c>
      <c r="P491" t="s">
        <v>71</v>
      </c>
      <c r="Q491" t="s">
        <v>76</v>
      </c>
      <c r="R491" t="s">
        <v>31</v>
      </c>
      <c r="S491">
        <v>1</v>
      </c>
      <c r="T491" t="s">
        <v>131</v>
      </c>
    </row>
    <row r="492" spans="1:20">
      <c r="A492">
        <v>491</v>
      </c>
      <c r="B492" s="14">
        <v>45701</v>
      </c>
      <c r="C492" t="s">
        <v>60</v>
      </c>
      <c r="D492" t="s">
        <v>129</v>
      </c>
      <c r="E492" t="s">
        <v>87</v>
      </c>
      <c r="F492" t="s">
        <v>91</v>
      </c>
      <c r="G492" t="s">
        <v>81</v>
      </c>
      <c r="H492" t="s">
        <v>58</v>
      </c>
      <c r="I492" t="s">
        <v>38</v>
      </c>
      <c r="J492" t="s">
        <v>27</v>
      </c>
      <c r="K492">
        <v>43</v>
      </c>
      <c r="L492">
        <v>92.64</v>
      </c>
      <c r="M492">
        <v>5</v>
      </c>
      <c r="N492" s="15">
        <f t="shared" si="7"/>
        <v>3983.52</v>
      </c>
      <c r="O492" t="s">
        <v>28</v>
      </c>
      <c r="P492" t="s">
        <v>132</v>
      </c>
      <c r="Q492" t="s">
        <v>76</v>
      </c>
      <c r="R492" t="s">
        <v>42</v>
      </c>
      <c r="S492">
        <v>3</v>
      </c>
      <c r="T492" t="s">
        <v>127</v>
      </c>
    </row>
    <row r="493" spans="1:20">
      <c r="A493">
        <v>492</v>
      </c>
      <c r="B493" s="14">
        <v>45818</v>
      </c>
      <c r="C493" t="s">
        <v>60</v>
      </c>
      <c r="D493" t="s">
        <v>124</v>
      </c>
      <c r="E493" t="s">
        <v>86</v>
      </c>
      <c r="F493" t="s">
        <v>91</v>
      </c>
      <c r="G493" t="s">
        <v>68</v>
      </c>
      <c r="H493" t="s">
        <v>25</v>
      </c>
      <c r="I493" t="s">
        <v>38</v>
      </c>
      <c r="J493" t="s">
        <v>63</v>
      </c>
      <c r="K493">
        <v>42</v>
      </c>
      <c r="L493">
        <v>24.49</v>
      </c>
      <c r="M493">
        <v>0</v>
      </c>
      <c r="N493" s="15">
        <f t="shared" si="7"/>
        <v>1028.58</v>
      </c>
      <c r="O493" t="s">
        <v>28</v>
      </c>
      <c r="P493" t="s">
        <v>132</v>
      </c>
      <c r="Q493" t="s">
        <v>76</v>
      </c>
      <c r="R493" t="s">
        <v>31</v>
      </c>
      <c r="S493">
        <v>3</v>
      </c>
      <c r="T493" t="s">
        <v>131</v>
      </c>
    </row>
    <row r="494" spans="1:20">
      <c r="A494">
        <v>493</v>
      </c>
      <c r="B494" s="14">
        <v>45676</v>
      </c>
      <c r="C494" t="s">
        <v>33</v>
      </c>
      <c r="D494" t="s">
        <v>129</v>
      </c>
      <c r="E494" t="s">
        <v>43</v>
      </c>
      <c r="F494" t="s">
        <v>130</v>
      </c>
      <c r="G494" t="s">
        <v>128</v>
      </c>
      <c r="H494" t="s">
        <v>25</v>
      </c>
      <c r="I494" t="s">
        <v>47</v>
      </c>
      <c r="J494" t="s">
        <v>48</v>
      </c>
      <c r="K494">
        <v>14</v>
      </c>
      <c r="L494">
        <v>13.82</v>
      </c>
      <c r="M494">
        <v>0</v>
      </c>
      <c r="N494" s="15">
        <f t="shared" si="7"/>
        <v>193.48</v>
      </c>
      <c r="O494" t="s">
        <v>54</v>
      </c>
      <c r="P494" t="s">
        <v>132</v>
      </c>
      <c r="Q494" t="s">
        <v>76</v>
      </c>
      <c r="R494" t="s">
        <v>31</v>
      </c>
      <c r="S494">
        <v>1</v>
      </c>
      <c r="T494" t="s">
        <v>127</v>
      </c>
    </row>
    <row r="495" spans="1:20">
      <c r="A495">
        <v>494</v>
      </c>
      <c r="B495" s="14">
        <v>45781</v>
      </c>
      <c r="C495" t="s">
        <v>50</v>
      </c>
      <c r="D495" t="s">
        <v>61</v>
      </c>
      <c r="E495" t="s">
        <v>114</v>
      </c>
      <c r="F495" t="s">
        <v>130</v>
      </c>
      <c r="G495" t="s">
        <v>81</v>
      </c>
      <c r="H495" t="s">
        <v>58</v>
      </c>
      <c r="I495" t="s">
        <v>74</v>
      </c>
      <c r="J495" t="s">
        <v>27</v>
      </c>
      <c r="K495">
        <v>24</v>
      </c>
      <c r="L495">
        <v>29.68</v>
      </c>
      <c r="M495">
        <v>0</v>
      </c>
      <c r="N495" s="15">
        <f t="shared" si="7"/>
        <v>712.32</v>
      </c>
      <c r="O495" t="s">
        <v>54</v>
      </c>
      <c r="P495" t="s">
        <v>71</v>
      </c>
      <c r="Q495" t="s">
        <v>30</v>
      </c>
      <c r="R495" t="s">
        <v>42</v>
      </c>
      <c r="S495">
        <v>1</v>
      </c>
      <c r="T495" t="s">
        <v>131</v>
      </c>
    </row>
    <row r="496" spans="1:20">
      <c r="A496">
        <v>495</v>
      </c>
      <c r="B496" s="14">
        <v>45810</v>
      </c>
      <c r="C496" t="s">
        <v>33</v>
      </c>
      <c r="D496" t="s">
        <v>124</v>
      </c>
      <c r="E496" t="s">
        <v>78</v>
      </c>
      <c r="F496" t="s">
        <v>44</v>
      </c>
      <c r="G496" t="s">
        <v>45</v>
      </c>
      <c r="H496" t="s">
        <v>25</v>
      </c>
      <c r="I496" t="s">
        <v>47</v>
      </c>
      <c r="J496" t="s">
        <v>39</v>
      </c>
      <c r="K496">
        <v>23</v>
      </c>
      <c r="L496">
        <v>33.42</v>
      </c>
      <c r="M496">
        <v>0</v>
      </c>
      <c r="N496" s="15">
        <f t="shared" si="7"/>
        <v>768.66</v>
      </c>
      <c r="O496" t="s">
        <v>40</v>
      </c>
      <c r="P496" t="s">
        <v>71</v>
      </c>
      <c r="Q496" t="s">
        <v>76</v>
      </c>
      <c r="R496" t="s">
        <v>31</v>
      </c>
      <c r="S496">
        <v>3</v>
      </c>
      <c r="T496" t="s">
        <v>125</v>
      </c>
    </row>
    <row r="497" spans="1:20">
      <c r="A497">
        <v>496</v>
      </c>
      <c r="B497" s="14">
        <v>45842</v>
      </c>
      <c r="C497" t="s">
        <v>85</v>
      </c>
      <c r="D497" t="s">
        <v>124</v>
      </c>
      <c r="E497" t="s">
        <v>90</v>
      </c>
      <c r="F497" t="s">
        <v>130</v>
      </c>
      <c r="G497" t="s">
        <v>81</v>
      </c>
      <c r="H497" t="s">
        <v>73</v>
      </c>
      <c r="I497" t="s">
        <v>74</v>
      </c>
      <c r="J497" t="s">
        <v>27</v>
      </c>
      <c r="K497">
        <v>4</v>
      </c>
      <c r="L497">
        <v>45.36</v>
      </c>
      <c r="M497">
        <v>5</v>
      </c>
      <c r="N497" s="15">
        <f t="shared" si="7"/>
        <v>181.44</v>
      </c>
      <c r="O497" t="s">
        <v>28</v>
      </c>
      <c r="P497" t="s">
        <v>64</v>
      </c>
      <c r="Q497" t="s">
        <v>76</v>
      </c>
      <c r="R497" t="s">
        <v>31</v>
      </c>
      <c r="S497">
        <v>3</v>
      </c>
      <c r="T497" t="s">
        <v>131</v>
      </c>
    </row>
    <row r="498" spans="1:20">
      <c r="A498">
        <v>497</v>
      </c>
      <c r="B498" s="14">
        <v>45959</v>
      </c>
      <c r="C498" t="s">
        <v>33</v>
      </c>
      <c r="D498" t="s">
        <v>126</v>
      </c>
      <c r="E498" t="s">
        <v>62</v>
      </c>
      <c r="F498" t="s">
        <v>44</v>
      </c>
      <c r="G498" t="s">
        <v>45</v>
      </c>
      <c r="H498" t="s">
        <v>58</v>
      </c>
      <c r="I498" t="s">
        <v>38</v>
      </c>
      <c r="J498" t="s">
        <v>63</v>
      </c>
      <c r="K498">
        <v>29</v>
      </c>
      <c r="L498">
        <v>70.46</v>
      </c>
      <c r="M498">
        <v>15</v>
      </c>
      <c r="N498" s="15">
        <f t="shared" si="7"/>
        <v>2043.34</v>
      </c>
      <c r="O498" t="s">
        <v>28</v>
      </c>
      <c r="P498" t="s">
        <v>64</v>
      </c>
      <c r="Q498" t="s">
        <v>76</v>
      </c>
      <c r="R498" t="s">
        <v>42</v>
      </c>
      <c r="S498">
        <v>2</v>
      </c>
      <c r="T498" t="s">
        <v>131</v>
      </c>
    </row>
    <row r="499" spans="1:20">
      <c r="A499">
        <v>498</v>
      </c>
      <c r="B499" s="14">
        <v>46022</v>
      </c>
      <c r="C499" t="s">
        <v>85</v>
      </c>
      <c r="D499" t="s">
        <v>61</v>
      </c>
      <c r="E499" t="s">
        <v>102</v>
      </c>
      <c r="F499" t="s">
        <v>91</v>
      </c>
      <c r="G499" t="s">
        <v>68</v>
      </c>
      <c r="H499" t="s">
        <v>58</v>
      </c>
      <c r="I499" t="s">
        <v>26</v>
      </c>
      <c r="J499" t="s">
        <v>63</v>
      </c>
      <c r="K499">
        <v>31</v>
      </c>
      <c r="L499">
        <v>8.1</v>
      </c>
      <c r="M499">
        <v>5</v>
      </c>
      <c r="N499" s="15">
        <f t="shared" si="7"/>
        <v>251.1</v>
      </c>
      <c r="O499" t="s">
        <v>54</v>
      </c>
      <c r="P499" t="s">
        <v>71</v>
      </c>
      <c r="Q499" t="s">
        <v>76</v>
      </c>
      <c r="R499" t="s">
        <v>31</v>
      </c>
      <c r="S499">
        <v>1</v>
      </c>
      <c r="T499" t="s">
        <v>127</v>
      </c>
    </row>
    <row r="500" spans="1:20">
      <c r="A500">
        <v>499</v>
      </c>
      <c r="B500" s="14">
        <v>45950</v>
      </c>
      <c r="C500" t="s">
        <v>60</v>
      </c>
      <c r="D500" t="s">
        <v>124</v>
      </c>
      <c r="E500" t="s">
        <v>99</v>
      </c>
      <c r="F500" t="s">
        <v>91</v>
      </c>
      <c r="G500" t="s">
        <v>88</v>
      </c>
      <c r="H500" t="s">
        <v>46</v>
      </c>
      <c r="I500" t="s">
        <v>53</v>
      </c>
      <c r="J500" t="s">
        <v>48</v>
      </c>
      <c r="K500">
        <v>20</v>
      </c>
      <c r="L500">
        <v>32.93</v>
      </c>
      <c r="M500">
        <v>0</v>
      </c>
      <c r="N500" s="15">
        <f t="shared" si="7"/>
        <v>658.6</v>
      </c>
      <c r="O500" t="s">
        <v>40</v>
      </c>
      <c r="P500" t="s">
        <v>64</v>
      </c>
      <c r="Q500" t="s">
        <v>76</v>
      </c>
      <c r="R500" t="s">
        <v>31</v>
      </c>
      <c r="S500">
        <v>3</v>
      </c>
      <c r="T500" t="s">
        <v>127</v>
      </c>
    </row>
    <row r="501" spans="1:20">
      <c r="A501">
        <v>500</v>
      </c>
      <c r="B501" s="14">
        <v>45768</v>
      </c>
      <c r="C501" t="s">
        <v>50</v>
      </c>
      <c r="D501" t="s">
        <v>61</v>
      </c>
      <c r="E501" t="s">
        <v>22</v>
      </c>
      <c r="F501" t="s">
        <v>44</v>
      </c>
      <c r="G501" t="s">
        <v>88</v>
      </c>
      <c r="H501" t="s">
        <v>58</v>
      </c>
      <c r="I501" t="s">
        <v>47</v>
      </c>
      <c r="J501" t="s">
        <v>48</v>
      </c>
      <c r="K501">
        <v>5</v>
      </c>
      <c r="L501">
        <v>87.69</v>
      </c>
      <c r="M501">
        <v>15</v>
      </c>
      <c r="N501" s="15">
        <f t="shared" si="7"/>
        <v>438.45</v>
      </c>
      <c r="O501" t="s">
        <v>28</v>
      </c>
      <c r="P501" t="s">
        <v>132</v>
      </c>
      <c r="Q501" t="s">
        <v>76</v>
      </c>
      <c r="R501" t="s">
        <v>42</v>
      </c>
      <c r="S501">
        <v>4</v>
      </c>
      <c r="T501" t="s">
        <v>131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D22" sqref="D22"/>
    </sheetView>
  </sheetViews>
  <sheetFormatPr defaultColWidth="9.14285714285714" defaultRowHeight="15" outlineLevelCol="4"/>
  <cols>
    <col min="1" max="1" width="7.71428571428571" customWidth="1"/>
    <col min="2" max="2" width="7.85714285714286" customWidth="1"/>
    <col min="3" max="3" width="19" customWidth="1"/>
    <col min="4" max="4" width="10.5714285714286"/>
  </cols>
  <sheetData>
    <row r="1" spans="2:4">
      <c r="B1" s="1"/>
      <c r="C1" s="2"/>
      <c r="D1" s="3"/>
    </row>
    <row r="2" spans="1:4">
      <c r="A2" s="3"/>
      <c r="B2" s="3"/>
      <c r="C2" s="4" t="s">
        <v>134</v>
      </c>
      <c r="D2" s="3"/>
    </row>
    <row r="3" spans="3:4">
      <c r="C3" s="5" t="s">
        <v>135</v>
      </c>
      <c r="D3" s="6">
        <f>AVERAGE(Clean_DataSet!M2:M501)</f>
        <v>5.79</v>
      </c>
    </row>
    <row r="4" spans="3:3">
      <c r="C4" s="7"/>
    </row>
    <row r="5" spans="3:3">
      <c r="C5" s="8" t="s">
        <v>136</v>
      </c>
    </row>
    <row r="6" spans="3:5">
      <c r="C6" s="9" t="s">
        <v>2</v>
      </c>
      <c r="D6" s="9" t="s">
        <v>7</v>
      </c>
      <c r="E6" s="5" t="s">
        <v>137</v>
      </c>
    </row>
    <row r="7" spans="3:5">
      <c r="C7" s="10" t="s">
        <v>20</v>
      </c>
      <c r="D7" s="10" t="s">
        <v>58</v>
      </c>
      <c r="E7" s="10">
        <f>SUMIFS(Clean_DataSet!N2:N501,Clean_DataSet!C2:C501,C7,Clean_DataSet!H2:H501,D7)</f>
        <v>86667.05</v>
      </c>
    </row>
    <row r="9" spans="3:3">
      <c r="C9" s="8" t="s">
        <v>138</v>
      </c>
    </row>
    <row r="10" spans="3:5">
      <c r="C10" s="9" t="s">
        <v>5</v>
      </c>
      <c r="D10" s="9" t="s">
        <v>6</v>
      </c>
      <c r="E10" s="5" t="s">
        <v>139</v>
      </c>
    </row>
    <row r="11" spans="3:5">
      <c r="C11" s="10" t="s">
        <v>130</v>
      </c>
      <c r="D11" s="10" t="s">
        <v>45</v>
      </c>
      <c r="E11" s="10">
        <f>COUNTIFS(Clean_DataSet!F2:F501,C11,Clean_DataSet!G2:G501,D11)</f>
        <v>23</v>
      </c>
    </row>
    <row r="13" spans="3:3">
      <c r="C13" s="11" t="s">
        <v>140</v>
      </c>
    </row>
    <row r="14" spans="3:5">
      <c r="C14" s="9" t="s">
        <v>7</v>
      </c>
      <c r="D14" s="9" t="s">
        <v>8</v>
      </c>
      <c r="E14" s="5" t="s">
        <v>139</v>
      </c>
    </row>
    <row r="15" spans="3:5">
      <c r="C15" s="12" t="s">
        <v>25</v>
      </c>
      <c r="D15" s="12" t="s">
        <v>26</v>
      </c>
      <c r="E15" s="12">
        <f>SUMIFS(Clean_DataSet!K2:K501,Clean_DataSet!H2:H501,C15,Clean_DataSet!I2:I501,D15)</f>
        <v>717</v>
      </c>
    </row>
    <row r="17" spans="3:3">
      <c r="C17" s="8" t="s">
        <v>141</v>
      </c>
    </row>
    <row r="18" spans="3:3">
      <c r="C18" s="5" t="s">
        <v>139</v>
      </c>
    </row>
    <row r="19" spans="3:3">
      <c r="C19" s="10" cm="1">
        <f t="array" ref="C19">SUMPRODUCT(Clean_DataSet!K2:K501*Clean_DataSet!L2:L501*(1-Clean_DataSet!M2:$M$501))</f>
        <v>-3506892.51</v>
      </c>
    </row>
    <row r="21" spans="3:3">
      <c r="C21" s="8" t="s">
        <v>142</v>
      </c>
    </row>
    <row r="22" spans="3:4">
      <c r="C22" s="9" t="s">
        <v>9</v>
      </c>
      <c r="D22" s="9" t="s">
        <v>139</v>
      </c>
    </row>
    <row r="23" spans="3:4">
      <c r="C23" s="13" t="s">
        <v>63</v>
      </c>
      <c r="D23" s="13" cm="1">
        <f t="array" ref="D23">SUMPRODUCT((Clean_DataSet!J2:J501=C23)*(Clean_DataSet!K2:K501*Clean_DataSet!L2:L501))</f>
        <v>209191.15</v>
      </c>
    </row>
  </sheetData>
  <conditionalFormatting sqref="C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{9601fed6-8461-4603-b744-2a74a5e45b41}</x14:id>
        </ext>
      </extLst>
    </cfRule>
  </conditionalFormatting>
  <dataValidations count="6">
    <dataValidation type="list" allowBlank="1" showInputMessage="1" showErrorMessage="1" sqref="A2 C7">
      <formula1>Clean_DataSet!$C$2:$C$501</formula1>
    </dataValidation>
    <dataValidation type="list" allowBlank="1" showInputMessage="1" showErrorMessage="1" sqref="B2 D7 C15">
      <formula1>Clean_DataSet!$H$2:$H$501</formula1>
    </dataValidation>
    <dataValidation type="list" allowBlank="1" showInputMessage="1" showErrorMessage="1" sqref="C11">
      <formula1>Clean_DataSet!$F$2:$F$501</formula1>
    </dataValidation>
    <dataValidation type="list" allowBlank="1" showInputMessage="1" showErrorMessage="1" sqref="D11">
      <formula1>Clean_DataSet!$G$2:$G$501</formula1>
    </dataValidation>
    <dataValidation type="list" allowBlank="1" showInputMessage="1" showErrorMessage="1" sqref="D15">
      <formula1>Clean_DataSet!$I$2:$I$501</formula1>
    </dataValidation>
    <dataValidation type="list" allowBlank="1" showInputMessage="1" showErrorMessage="1" sqref="C23">
      <formula1>Clean_DataSet!$J$2:$J$501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01fed6-8461-4603-b744-2a74a5e45b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8"/>
  <sheetViews>
    <sheetView topLeftCell="F1" workbookViewId="0">
      <selection activeCell="J12" sqref="J12"/>
    </sheetView>
  </sheetViews>
  <sheetFormatPr defaultColWidth="9.14285714285714" defaultRowHeight="15"/>
  <cols>
    <col min="1" max="1" width="9.85714285714286"/>
    <col min="2" max="2" width="22"/>
    <col min="3" max="3" width="25.8571428571429"/>
    <col min="4" max="4" width="9.71428571428571"/>
    <col min="5" max="6" width="22"/>
    <col min="7" max="7" width="24"/>
    <col min="8" max="8" width="14.1428571428571"/>
    <col min="9" max="9" width="22"/>
    <col min="11" max="11" width="14.4285714285714"/>
    <col min="12" max="12" width="22" customWidth="1"/>
    <col min="13" max="13" width="14.7142857142857"/>
    <col min="14" max="14" width="15.2857142857143"/>
    <col min="15" max="15" width="16.8571428571429"/>
  </cols>
  <sheetData>
    <row r="3" spans="1:11">
      <c r="A3" t="s">
        <v>7</v>
      </c>
      <c r="B3" t="s">
        <v>143</v>
      </c>
      <c r="D3" t="s">
        <v>2</v>
      </c>
      <c r="E3" t="s">
        <v>144</v>
      </c>
      <c r="G3" t="s">
        <v>6</v>
      </c>
      <c r="H3" t="s">
        <v>145</v>
      </c>
      <c r="J3" t="s">
        <v>9</v>
      </c>
      <c r="K3" t="s">
        <v>144</v>
      </c>
    </row>
    <row r="4" spans="1:11">
      <c r="A4" t="s">
        <v>46</v>
      </c>
      <c r="B4">
        <v>114307.76</v>
      </c>
      <c r="D4" t="s">
        <v>33</v>
      </c>
      <c r="E4">
        <v>1757</v>
      </c>
      <c r="G4" t="s">
        <v>88</v>
      </c>
      <c r="H4">
        <v>85</v>
      </c>
      <c r="J4" t="s">
        <v>27</v>
      </c>
      <c r="K4">
        <v>3293</v>
      </c>
    </row>
    <row r="5" spans="1:11">
      <c r="A5" t="s">
        <v>73</v>
      </c>
      <c r="B5">
        <v>140369.28</v>
      </c>
      <c r="D5" t="s">
        <v>60</v>
      </c>
      <c r="E5">
        <v>2124</v>
      </c>
      <c r="G5" t="s">
        <v>68</v>
      </c>
      <c r="H5">
        <v>75</v>
      </c>
      <c r="J5" t="s">
        <v>39</v>
      </c>
      <c r="K5">
        <v>3269</v>
      </c>
    </row>
    <row r="6" spans="1:11">
      <c r="A6" t="s">
        <v>25</v>
      </c>
      <c r="B6">
        <v>149362.33</v>
      </c>
      <c r="D6" t="s">
        <v>20</v>
      </c>
      <c r="E6">
        <v>3779</v>
      </c>
      <c r="G6" t="s">
        <v>24</v>
      </c>
      <c r="H6">
        <v>83</v>
      </c>
      <c r="J6" t="s">
        <v>48</v>
      </c>
      <c r="K6">
        <v>2847</v>
      </c>
    </row>
    <row r="7" spans="1:11">
      <c r="A7" t="s">
        <v>58</v>
      </c>
      <c r="B7">
        <v>292031.77</v>
      </c>
      <c r="D7" t="s">
        <v>50</v>
      </c>
      <c r="E7">
        <v>3893</v>
      </c>
      <c r="G7" t="s">
        <v>128</v>
      </c>
      <c r="H7">
        <v>88</v>
      </c>
      <c r="J7" t="s">
        <v>63</v>
      </c>
      <c r="K7">
        <v>3975</v>
      </c>
    </row>
    <row r="8" spans="4:8">
      <c r="D8" t="s">
        <v>85</v>
      </c>
      <c r="E8">
        <v>1831</v>
      </c>
      <c r="G8" t="s">
        <v>45</v>
      </c>
      <c r="H8">
        <v>102</v>
      </c>
    </row>
    <row r="9" spans="7:8">
      <c r="G9" t="s">
        <v>81</v>
      </c>
      <c r="H9">
        <v>67</v>
      </c>
    </row>
    <row r="12" spans="1:12">
      <c r="A12" t="s">
        <v>8</v>
      </c>
      <c r="B12" t="s">
        <v>143</v>
      </c>
      <c r="D12" t="s">
        <v>6</v>
      </c>
      <c r="E12" t="s">
        <v>143</v>
      </c>
      <c r="G12" t="s">
        <v>12</v>
      </c>
      <c r="H12" t="s">
        <v>143</v>
      </c>
      <c r="J12" t="s">
        <v>17</v>
      </c>
      <c r="K12" t="s">
        <v>146</v>
      </c>
      <c r="L12" t="s">
        <v>147</v>
      </c>
    </row>
    <row r="13" spans="1:12">
      <c r="A13" t="s">
        <v>47</v>
      </c>
      <c r="B13">
        <v>106770.91</v>
      </c>
      <c r="D13" t="s">
        <v>88</v>
      </c>
      <c r="E13">
        <v>123415.11</v>
      </c>
      <c r="G13">
        <v>0</v>
      </c>
      <c r="H13">
        <v>270422</v>
      </c>
      <c r="J13" t="s">
        <v>42</v>
      </c>
      <c r="K13">
        <v>85785</v>
      </c>
      <c r="L13">
        <v>346</v>
      </c>
    </row>
    <row r="14" spans="1:12">
      <c r="A14" t="s">
        <v>38</v>
      </c>
      <c r="B14">
        <v>167091.61</v>
      </c>
      <c r="D14" t="s">
        <v>68</v>
      </c>
      <c r="E14">
        <v>97467.45</v>
      </c>
      <c r="G14">
        <v>5</v>
      </c>
      <c r="H14">
        <v>157577.83</v>
      </c>
      <c r="J14" t="s">
        <v>31</v>
      </c>
      <c r="K14">
        <v>39465</v>
      </c>
      <c r="L14">
        <v>154</v>
      </c>
    </row>
    <row r="15" spans="1:8">
      <c r="A15" t="s">
        <v>26</v>
      </c>
      <c r="B15">
        <v>162238.89</v>
      </c>
      <c r="D15" t="s">
        <v>24</v>
      </c>
      <c r="E15">
        <v>112620.59</v>
      </c>
      <c r="G15">
        <v>10</v>
      </c>
      <c r="H15">
        <v>121199.03</v>
      </c>
    </row>
    <row r="16" spans="1:8">
      <c r="A16" t="s">
        <v>74</v>
      </c>
      <c r="B16">
        <v>117715.44</v>
      </c>
      <c r="D16" t="s">
        <v>128</v>
      </c>
      <c r="E16">
        <v>123915.06</v>
      </c>
      <c r="G16">
        <v>15</v>
      </c>
      <c r="H16">
        <v>146872.28</v>
      </c>
    </row>
    <row r="17" spans="1:5">
      <c r="A17" t="s">
        <v>53</v>
      </c>
      <c r="B17">
        <v>142254.29</v>
      </c>
      <c r="D17" t="s">
        <v>45</v>
      </c>
      <c r="E17">
        <v>152353.38</v>
      </c>
    </row>
    <row r="18" spans="4:5">
      <c r="D18" t="s">
        <v>81</v>
      </c>
      <c r="E18">
        <v>86299.55</v>
      </c>
    </row>
  </sheetData>
  <conditionalFormatting sqref="L12:L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{43eed8fe-c90f-4bcc-a7f3-a5b6635e0892}</x14:id>
        </ext>
      </extLst>
    </cfRule>
  </conditionalFormatting>
  <conditionalFormatting sqref="A3:B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{5d2c8121-7865-4c37-870e-817ea8cb3a1f}</x14:id>
        </ext>
      </extLst>
    </cfRule>
  </conditionalFormatting>
  <conditionalFormatting sqref="D3:E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{7c8284de-892a-4eea-99ac-11d375f70551}</x14:id>
        </ext>
      </extLst>
    </cfRule>
  </conditionalFormatting>
  <conditionalFormatting sqref="G12:H16 G3:H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{63c521b7-5e16-49dc-ad85-357490a52f14}</x14:id>
        </ext>
      </extLst>
    </cfRule>
  </conditionalFormatting>
  <conditionalFormatting sqref="G3:H9">
    <cfRule type="colorScale" priority="5">
      <colorScale>
        <cfvo type="min"/>
        <cfvo type="max"/>
        <color rgb="FF63BE7B"/>
        <color rgb="FFFCFCFF"/>
      </colorScale>
    </cfRule>
  </conditionalFormatting>
  <conditionalFormatting sqref="J3:K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{9e8bb17c-d0fe-4e5b-bb3c-17bcbb35cdb5}</x14:id>
        </ext>
      </extLst>
    </cfRule>
  </conditionalFormatting>
  <conditionalFormatting sqref="A12:B17 D12:E1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{9440ad75-6714-44b8-85a8-53a204e53553}</x14:id>
        </ext>
      </extLst>
    </cfRule>
  </conditionalFormatting>
  <conditionalFormatting sqref="J12:L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{f92c1de6-c25d-4e5d-a939-1c50c33fe107}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ed8fe-c90f-4bcc-a7f3-a5b6635e0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L12:L14</xm:sqref>
        </x14:conditionalFormatting>
        <x14:conditionalFormatting xmlns:xm="http://schemas.microsoft.com/office/excel/2006/main">
          <x14:cfRule type="dataBar" id="{5d2c8121-7865-4c37-870e-817ea8cb3a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A3:B7</xm:sqref>
        </x14:conditionalFormatting>
        <x14:conditionalFormatting xmlns:xm="http://schemas.microsoft.com/office/excel/2006/main">
          <x14:cfRule type="dataBar" id="{7c8284de-892a-4eea-99ac-11d375f705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D3:E8</xm:sqref>
        </x14:conditionalFormatting>
        <x14:conditionalFormatting xmlns:xm="http://schemas.microsoft.com/office/excel/2006/main">
          <x14:cfRule type="dataBar" id="{63c521b7-5e16-49dc-ad85-357490a52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G12:H16 G3:H9</xm:sqref>
        </x14:conditionalFormatting>
        <x14:conditionalFormatting xmlns:xm="http://schemas.microsoft.com/office/excel/2006/main">
          <x14:cfRule type="dataBar" id="{9e8bb17c-d0fe-4e5b-bb3c-17bcbb35c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J3:K7</xm:sqref>
        </x14:conditionalFormatting>
        <x14:conditionalFormatting xmlns:xm="http://schemas.microsoft.com/office/excel/2006/main">
          <x14:cfRule type="dataBar" id="{9440ad75-6714-44b8-85a8-53a204e535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A12:B17 D12:E18</xm:sqref>
        </x14:conditionalFormatting>
        <x14:conditionalFormatting xmlns:xm="http://schemas.microsoft.com/office/excel/2006/main">
          <x14:cfRule type="dataBar" id="{f92c1de6-c25d-4e5d-a939-1c50c33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J12:L14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R7" sqref="R7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Medicine_Sales_MessyData_2025</vt:lpstr>
      <vt:lpstr>Clean_DataSet</vt:lpstr>
      <vt:lpstr>Operation_Sheet</vt:lpstr>
      <vt:lpstr>Pivot_Table_Sheet</vt:lpstr>
      <vt:lpstr>Visualization_Sheet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2026-02-02T07:30:00Z</dcterms:created>
  <dcterms:modified xsi:type="dcterms:W3CDTF">2026-02-22T17:07:30Z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D6A2B282899A4549A5B49E141C703799_13</vt:lpwstr>
  </property>
  <property fmtid="{D5CDD505-2E9C-101B-9397-08002B2CF9AE}" pid="3" name="KSOProductBuildVer">
    <vt:lpwstr>1033-12.2.0.23196</vt:lpwstr>
  </property>
</Properties>
</file>