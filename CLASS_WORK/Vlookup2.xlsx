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<sst xmlns="http://schemas.openxmlformats.org/spreadsheetml/2006/main" count="20" uniqueCount="16">
  <si>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</si>
  <si>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</si>
  <si>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</si>
  <si>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</si>
  <si>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</si>
  <si>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</si>
  <si>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</si>
  <si>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</si>
  <si>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</si>
  <si>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 h</t>
  </si>
  <si>
    <t>Order ID</t>
  </si>
  <si>
    <t>Quantity</t>
  </si>
  <si>
    <t>Total Price</t>
  </si>
  <si>
    <t>Discount</t>
  </si>
  <si>
    <t>Max Order Value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</si>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</sst>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rdas\AppData\Local\Packages\5319275A.WhatsAppDesktop_cv1g1gvanyjgm\LocalState\sessions\E4BBCF481C42AB433E8577DB4BAE017B9A058B47\transfers\2026-02\D247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Product ID</v>
          </cell>
          <cell r="B1" t="str">
            <v>Product</v>
          </cell>
          <cell r="C1" t="str">
            <v>Price</v>
          </cell>
        </row>
        <row r="2">
          <cell r="A2">
            <v>101</v>
          </cell>
          <cell r="B2" t="str">
            <v>Product A</v>
          </cell>
          <cell r="C2">
            <v>120</v>
          </cell>
        </row>
        <row r="3">
          <cell r="A3">
            <v>102</v>
          </cell>
          <cell r="B3" t="str">
            <v>Product B</v>
          </cell>
          <cell r="C3">
            <v>150</v>
          </cell>
        </row>
        <row r="4">
          <cell r="A4">
            <v>103</v>
          </cell>
          <cell r="B4" t="str">
            <v>Product C</v>
          </cell>
          <cell r="C4">
            <v>200</v>
          </cell>
        </row>
        <row r="5">
          <cell r="A5">
            <v>104</v>
          </cell>
          <cell r="B5" t="str">
            <v>Product D</v>
          </cell>
          <cell r="C5">
            <v>90</v>
          </cell>
        </row>
        <row r="6">
          <cell r="A6">
            <v>105</v>
          </cell>
          <cell r="B6" t="str">
            <v>Product E</v>
          </cell>
          <cell r="C6">
            <v>220</v>
          </cell>
        </row>
        <row r="7">
          <cell r="A7">
            <v>106</v>
          </cell>
          <cell r="B7" t="str">
            <v>Product F</v>
          </cell>
          <cell r="C7">
            <v>130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4" sqref="B4"/>
    </sheetView>
  </sheetViews>
  <sheetFormatPr defaultColWidth="9" defaultRowHeight="15" outlineLevelRow="7" outlineLevelCol="3"/>
  <cols>
    <col min="1" max="1" width="9.54285714285714" customWidth="1"/>
    <col min="2" max="2" width="9" customWidth="1"/>
    <col min="4" max="4" width="11.4571428571429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4">
        <v>101</v>
      </c>
      <c r="B2" s="4" t="s">
        <v>3</v>
      </c>
      <c r="C2" s="4">
        <v>120</v>
      </c>
      <c r="D2" s="5"/>
    </row>
    <row r="3" spans="1:4">
      <c r="A3" s="4">
        <v>102</v>
      </c>
      <c r="B3" s="4" t="s">
        <v>4</v>
      </c>
      <c r="C3" s="4">
        <v>150</v>
      </c>
      <c r="D3" s="5"/>
    </row>
    <row r="4" spans="1:4">
      <c r="A4" s="4">
        <v>103</v>
      </c>
      <c r="B4" s="4" t="s">
        <v>5</v>
      </c>
      <c r="C4" s="4">
        <v>200</v>
      </c>
      <c r="D4" s="5"/>
    </row>
    <row r="5" spans="1:4">
      <c r="A5" s="4">
        <v>104</v>
      </c>
      <c r="B5" s="4" t="s">
        <v>6</v>
      </c>
      <c r="C5" s="4">
        <v>90</v>
      </c>
      <c r="D5" s="5"/>
    </row>
    <row r="6" spans="1:4">
      <c r="A6" s="4">
        <v>105</v>
      </c>
      <c r="B6" s="4" t="s">
        <v>7</v>
      </c>
      <c r="C6" s="4">
        <v>220</v>
      </c>
      <c r="D6" s="5"/>
    </row>
    <row r="7" spans="1:4">
      <c r="A7" s="4">
        <v>106</v>
      </c>
      <c r="B7" s="4" t="s">
        <v>8</v>
      </c>
      <c r="C7" s="4">
        <v>130</v>
      </c>
      <c r="D7" s="5"/>
    </row>
    <row r="8" spans="1:4">
      <c r="A8" s="4">
        <v>108</v>
      </c>
      <c r="B8" s="4" t="s">
        <v>9</v>
      </c>
      <c r="C8" s="4">
        <v>110</v>
      </c>
      <c r="D8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I13" sqref="I13"/>
    </sheetView>
  </sheetViews>
  <sheetFormatPr defaultColWidth="9" defaultRowHeight="15"/>
  <cols>
    <col min="2" max="2" width="9.54285714285714" customWidth="1"/>
    <col min="7" max="7" width="9.81904761904762" customWidth="1"/>
    <col min="11" max="11" width="9.62857142857143" customWidth="1"/>
    <col min="12" max="12" width="9.90476190476191" customWidth="1"/>
    <col min="14" max="14" width="9.36190476190476" customWidth="1"/>
    <col min="15" max="15" width="11.4571428571429" customWidth="1"/>
    <col min="17" max="17" width="15.0857142857143" customWidth="1"/>
  </cols>
  <sheetData>
    <row r="1" spans="1:5">
      <c r="A1" s="1" t="s">
        <v>10</v>
      </c>
      <c r="B1" s="1" t="s">
        <v>0</v>
      </c>
      <c r="C1" s="1" t="s">
        <v>11</v>
      </c>
      <c r="D1" s="2"/>
      <c r="E1" s="3"/>
    </row>
    <row r="2" spans="1:15">
      <c r="A2" s="4">
        <v>1</v>
      </c>
      <c r="B2" s="4">
        <v>101</v>
      </c>
      <c r="C2" s="4">
        <v>2</v>
      </c>
      <c r="D2" s="5"/>
      <c r="E2" s="5"/>
      <c r="O2" s="3"/>
    </row>
    <row r="3" spans="1:17">
      <c r="A3" s="4">
        <v>2</v>
      </c>
      <c r="B3" s="4">
        <v>103</v>
      </c>
      <c r="C3" s="4">
        <v>1</v>
      </c>
      <c r="D3" s="5"/>
      <c r="F3" s="4">
        <f t="array" ref="F3:G3">VLOOKUP(A3,A2:C7,{2,3},0)</f>
        <v>103</v>
      </c>
      <c r="G3" s="4">
        <v>1</v>
      </c>
      <c r="I3" s="1" t="s">
        <v>1</v>
      </c>
      <c r="J3" s="1" t="s">
        <v>2</v>
      </c>
      <c r="K3" s="1" t="s">
        <v>12</v>
      </c>
      <c r="L3" s="1"/>
      <c r="M3" s="1" t="s">
        <v>13</v>
      </c>
      <c r="N3" s="1" t="s">
        <v>12</v>
      </c>
      <c r="O3" s="2"/>
      <c r="Q3" s="7" t="s">
        <v>14</v>
      </c>
    </row>
    <row r="4" spans="1:17">
      <c r="A4" s="4">
        <v>3</v>
      </c>
      <c r="B4" s="4">
        <v>105</v>
      </c>
      <c r="C4" s="4">
        <v>4</v>
      </c>
      <c r="D4" s="5"/>
      <c r="I4" s="4" t="str">
        <f>VLOOKUP(B2,Sheet1!$A$1:$C$8,2,0)</f>
        <v>Product A</v>
      </c>
      <c r="J4" s="4">
        <f>VLOOKUP(B2,[1]Sheet6!$A$1:$C$7,3,0)</f>
        <v>120</v>
      </c>
      <c r="K4" s="4">
        <f t="shared" ref="K4:K9" si="0">PRODUCT(C2*J4)</f>
        <v>240</v>
      </c>
      <c r="L4" s="4"/>
      <c r="M4" s="4">
        <f t="shared" ref="M4:M9" si="1">J4-(J4*10%)</f>
        <v>108</v>
      </c>
      <c r="N4" s="4">
        <f t="shared" ref="N4:N9" si="2">M4*C2</f>
        <v>216</v>
      </c>
      <c r="O4" s="5"/>
      <c r="Q4" s="4">
        <f>MAX(K4:K9)</f>
        <v>880</v>
      </c>
    </row>
    <row r="5" spans="1:15">
      <c r="A5" s="4">
        <v>4</v>
      </c>
      <c r="B5" s="4">
        <v>106</v>
      </c>
      <c r="C5" s="4">
        <v>3</v>
      </c>
      <c r="D5" s="5"/>
      <c r="I5" s="4" t="str">
        <f>VLOOKUP(B3,Sheet1!$A$1:$C$8,2,0)</f>
        <v>Product C</v>
      </c>
      <c r="J5" s="4">
        <f>VLOOKUP(B3,[1]Sheet6!$A$1:$C$7,3,0)</f>
        <v>200</v>
      </c>
      <c r="K5" s="4">
        <f t="shared" si="0"/>
        <v>200</v>
      </c>
      <c r="L5" s="4"/>
      <c r="M5" s="4">
        <f t="shared" si="1"/>
        <v>180</v>
      </c>
      <c r="N5" s="4">
        <f t="shared" si="2"/>
        <v>180</v>
      </c>
      <c r="O5" s="5"/>
    </row>
    <row r="6" spans="1:15">
      <c r="A6" s="4">
        <v>5</v>
      </c>
      <c r="B6" s="4">
        <v>102</v>
      </c>
      <c r="C6" s="4">
        <v>5</v>
      </c>
      <c r="D6" s="5"/>
      <c r="I6" s="4" t="str">
        <f>VLOOKUP(B4,Sheet1!$A$1:$C$8,2,0)</f>
        <v>Product E</v>
      </c>
      <c r="J6" s="4">
        <f>VLOOKUP(B4,[1]Sheet6!$A$1:$C$7,3,0)</f>
        <v>220</v>
      </c>
      <c r="K6" s="4">
        <f t="shared" si="0"/>
        <v>880</v>
      </c>
      <c r="L6" s="4"/>
      <c r="M6" s="4">
        <f t="shared" si="1"/>
        <v>198</v>
      </c>
      <c r="N6" s="4">
        <f t="shared" si="2"/>
        <v>792</v>
      </c>
      <c r="O6" s="5"/>
    </row>
    <row r="7" spans="1:15">
      <c r="A7" s="4">
        <v>6</v>
      </c>
      <c r="B7" s="4">
        <v>104</v>
      </c>
      <c r="C7" s="4">
        <v>6</v>
      </c>
      <c r="D7" s="5"/>
      <c r="I7" s="4" t="str">
        <f>VLOOKUP(B5,Sheet1!$A$1:$C$8,2,0)</f>
        <v>Product F</v>
      </c>
      <c r="J7" s="4">
        <f>VLOOKUP(B5,[1]Sheet6!$A$1:$C$7,3,0)</f>
        <v>130</v>
      </c>
      <c r="K7" s="4">
        <f t="shared" si="0"/>
        <v>390</v>
      </c>
      <c r="L7" s="4"/>
      <c r="M7" s="4">
        <f t="shared" si="1"/>
        <v>117</v>
      </c>
      <c r="N7" s="4">
        <f t="shared" si="2"/>
        <v>351</v>
      </c>
      <c r="O7" s="5"/>
    </row>
    <row r="8" spans="1:15">
      <c r="A8" s="4">
        <v>7</v>
      </c>
      <c r="B8" s="4">
        <v>107</v>
      </c>
      <c r="C8" s="4"/>
      <c r="D8" s="5"/>
      <c r="G8" s="1" t="s">
        <v>15</v>
      </c>
      <c r="I8" s="4" t="str">
        <f>VLOOKUP(B6,Sheet1!$A$1:$C$8,2,0)</f>
        <v>Product B</v>
      </c>
      <c r="J8" s="4">
        <f>VLOOKUP(B6,[1]Sheet6!$A$1:$C$7,3,0)</f>
        <v>150</v>
      </c>
      <c r="K8" s="4">
        <f t="shared" si="0"/>
        <v>750</v>
      </c>
      <c r="L8" s="4"/>
      <c r="M8" s="4">
        <f t="shared" si="1"/>
        <v>135</v>
      </c>
      <c r="N8" s="4">
        <f t="shared" si="2"/>
        <v>675</v>
      </c>
      <c r="O8" s="5"/>
    </row>
    <row r="9" spans="7:15">
      <c r="G9" s="4" t="str">
        <f>IF(ISNA(VLOOKUP(B2,B1:D7,3,0)),"not found","found")</f>
        <v>found</v>
      </c>
      <c r="I9" s="4" t="str">
        <f>VLOOKUP(B7,Sheet1!$A$1:$C$8,2,0)</f>
        <v>Product D</v>
      </c>
      <c r="J9" s="4">
        <f>VLOOKUP(B7,[1]Sheet6!$A$1:$C$7,3,0)</f>
        <v>90</v>
      </c>
      <c r="K9" s="4">
        <f t="shared" si="0"/>
        <v>540</v>
      </c>
      <c r="L9" s="4"/>
      <c r="M9" s="4">
        <f t="shared" si="1"/>
        <v>81</v>
      </c>
      <c r="N9" s="4">
        <f t="shared" si="2"/>
        <v>486</v>
      </c>
      <c r="O9" s="5"/>
    </row>
    <row r="10" spans="7:15">
      <c r="G10" s="4" t="str">
        <f t="shared" ref="G10:G15" si="3">IF(ISNA(VLOOKUP(B3,B2:D8,3,0)),"not found","found")</f>
        <v>found</v>
      </c>
      <c r="I10" s="4" t="e">
        <f>VLOOKUP(B8,Sheet1!$A$1:$C$8,2,0)</f>
        <v>#N/A</v>
      </c>
      <c r="J10" s="4"/>
      <c r="K10" s="4"/>
      <c r="L10" s="4"/>
      <c r="M10" s="4"/>
      <c r="N10" s="4"/>
      <c r="O10" s="5"/>
    </row>
    <row r="11" spans="2:15">
      <c r="B11" s="3"/>
      <c r="C11" s="6"/>
      <c r="D11" s="6"/>
      <c r="G11" s="4" t="str">
        <f t="shared" si="3"/>
        <v>found</v>
      </c>
      <c r="O11" s="5"/>
    </row>
    <row r="12" spans="2:15">
      <c r="B12" s="3"/>
      <c r="C12" s="2"/>
      <c r="D12" s="2"/>
      <c r="G12" s="4" t="str">
        <f t="shared" si="3"/>
        <v>found</v>
      </c>
      <c r="O12" s="3"/>
    </row>
    <row r="13" spans="2:15">
      <c r="B13" s="3"/>
      <c r="C13" s="5"/>
      <c r="D13" s="5"/>
      <c r="G13" s="4" t="str">
        <f>IF(ISNA(VLOOKUP(B6,B5:D10,3,0)),"not found","found")</f>
        <v>found</v>
      </c>
      <c r="L13" s="4" t="b">
        <f t="shared" ref="L13:L19" si="4">ISNA(VLOOKUP(B2,B1:D7,3,0))</f>
        <v>0</v>
      </c>
      <c r="O13" s="3"/>
    </row>
    <row r="14" spans="2:12">
      <c r="B14" s="3"/>
      <c r="C14" s="5"/>
      <c r="D14" s="5"/>
      <c r="G14" s="4" t="str">
        <f>IF(ISNA(VLOOKUP(B7,B6:D10,3,0)),"not found","found")</f>
        <v>found</v>
      </c>
      <c r="L14" s="4" t="b">
        <f t="shared" si="4"/>
        <v>0</v>
      </c>
    </row>
    <row r="15" spans="2:12">
      <c r="B15" s="3"/>
      <c r="C15" s="5"/>
      <c r="D15" s="5"/>
      <c r="G15" s="4" t="str">
        <f>IF(ISNA(VLOOKUP(B8,B7:D10,3,0)),"not found","found")</f>
        <v>found</v>
      </c>
      <c r="L15" s="4" t="b">
        <f t="shared" si="4"/>
        <v>0</v>
      </c>
    </row>
    <row r="16" spans="2:12">
      <c r="B16" s="3"/>
      <c r="C16" s="5"/>
      <c r="D16" s="5"/>
      <c r="L16" s="4" t="b">
        <f t="shared" si="4"/>
        <v>0</v>
      </c>
    </row>
    <row r="17" spans="2:12">
      <c r="B17" s="3"/>
      <c r="C17" s="5"/>
      <c r="D17" s="5"/>
      <c r="L17" s="4" t="b">
        <f>ISNA(VLOOKUP(B6,B5:D10,3,0))</f>
        <v>0</v>
      </c>
    </row>
    <row r="18" spans="2:12">
      <c r="B18" s="3"/>
      <c r="C18" s="5"/>
      <c r="D18" s="5"/>
      <c r="L18" s="4" t="b">
        <f>ISNA(VLOOKUP(B7,B6:D10,3,0))</f>
        <v>0</v>
      </c>
    </row>
    <row r="19" spans="2:12">
      <c r="B19" s="3"/>
      <c r="C19" s="5"/>
      <c r="D19" s="5"/>
      <c r="L19" s="4" t="b">
        <f>ISNA(VLOOKUP(B8,B7:D10,3,0))</f>
        <v>0</v>
      </c>
    </row>
    <row r="20" spans="2:4">
      <c r="B20" s="3"/>
      <c r="C20" s="3"/>
      <c r="D20" s="3"/>
    </row>
  </sheetData>
  <mergeCells count="1">
    <mergeCell ref="C11:D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2026-01-12T16:47:00Z</dcterms:created>
  <dcterms:modified xsi:type="dcterms:W3CDTF">2026-01-15T02:57:00Z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650AB3EF366D4F58A8D810AD4B5C07B5_13</vt:lpwstr>
  </property>
  <property fmtid="{D5CDD505-2E9C-101B-9397-08002B2CF9AE}" pid="3" name="KSOProductBuildVer">
    <vt:lpwstr>1033-12.2.0.23196</vt:lpwstr>
  </property>
</Properties>
</file>